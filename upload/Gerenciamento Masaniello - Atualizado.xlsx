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valdi\Downloads\"/>
    </mc:Choice>
  </mc:AlternateContent>
  <bookViews>
    <workbookView xWindow="0" yWindow="0" windowWidth="28800" windowHeight="12210"/>
  </bookViews>
  <sheets>
    <sheet name="Gerenciamento" sheetId="1" r:id="rId1"/>
    <sheet name="algoritmo" sheetId="2" state="hidden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5" i="2" l="1"/>
  <c r="A102" i="2"/>
  <c r="DJ101" i="2"/>
  <c r="DI101" i="2"/>
  <c r="DH101" i="2"/>
  <c r="DG101" i="2"/>
  <c r="DF101" i="2"/>
  <c r="DE101" i="2"/>
  <c r="DD101" i="2"/>
  <c r="DC101" i="2"/>
  <c r="DB101" i="2"/>
  <c r="DA101" i="2"/>
  <c r="CZ101" i="2"/>
  <c r="CY101" i="2"/>
  <c r="CX101" i="2"/>
  <c r="CW101" i="2"/>
  <c r="CV101" i="2"/>
  <c r="CU101" i="2"/>
  <c r="CT101" i="2"/>
  <c r="CS101" i="2"/>
  <c r="CR101" i="2"/>
  <c r="CQ101" i="2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M101" i="2"/>
  <c r="A101" i="2"/>
  <c r="DJ100" i="2"/>
  <c r="DI100" i="2"/>
  <c r="DH100" i="2"/>
  <c r="DG100" i="2"/>
  <c r="DF100" i="2"/>
  <c r="DE100" i="2"/>
  <c r="DD100" i="2"/>
  <c r="DC100" i="2"/>
  <c r="DB100" i="2"/>
  <c r="DA100" i="2"/>
  <c r="CZ100" i="2"/>
  <c r="CY100" i="2"/>
  <c r="CX100" i="2"/>
  <c r="CW100" i="2"/>
  <c r="CV100" i="2"/>
  <c r="CU100" i="2"/>
  <c r="CT100" i="2"/>
  <c r="CS100" i="2"/>
  <c r="CR100" i="2"/>
  <c r="CQ100" i="2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M100" i="2"/>
  <c r="A100" i="2"/>
  <c r="DJ99" i="2"/>
  <c r="DI99" i="2"/>
  <c r="DH99" i="2"/>
  <c r="DG99" i="2"/>
  <c r="DF99" i="2"/>
  <c r="DE99" i="2"/>
  <c r="DD99" i="2"/>
  <c r="DC99" i="2"/>
  <c r="DB99" i="2"/>
  <c r="DA99" i="2"/>
  <c r="CZ99" i="2"/>
  <c r="CY99" i="2"/>
  <c r="CX99" i="2"/>
  <c r="CW99" i="2"/>
  <c r="CV99" i="2"/>
  <c r="CU99" i="2"/>
  <c r="CT99" i="2"/>
  <c r="CS99" i="2"/>
  <c r="CR99" i="2"/>
  <c r="CQ99" i="2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M99" i="2"/>
  <c r="A99" i="2"/>
  <c r="DJ98" i="2"/>
  <c r="DI98" i="2"/>
  <c r="DH98" i="2"/>
  <c r="DG98" i="2"/>
  <c r="DF98" i="2"/>
  <c r="DE98" i="2"/>
  <c r="DD98" i="2"/>
  <c r="DC98" i="2"/>
  <c r="DB98" i="2"/>
  <c r="DA98" i="2"/>
  <c r="CZ98" i="2"/>
  <c r="CY98" i="2"/>
  <c r="CX98" i="2"/>
  <c r="CW98" i="2"/>
  <c r="CV98" i="2"/>
  <c r="CU98" i="2"/>
  <c r="CT98" i="2"/>
  <c r="CS98" i="2"/>
  <c r="CR98" i="2"/>
  <c r="CQ98" i="2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M98" i="2"/>
  <c r="A98" i="2"/>
  <c r="DJ97" i="2"/>
  <c r="DI97" i="2"/>
  <c r="DH97" i="2"/>
  <c r="DG97" i="2"/>
  <c r="DF97" i="2"/>
  <c r="DE97" i="2"/>
  <c r="DD97" i="2"/>
  <c r="DC97" i="2"/>
  <c r="DB97" i="2"/>
  <c r="DA97" i="2"/>
  <c r="CZ97" i="2"/>
  <c r="CY97" i="2"/>
  <c r="CX97" i="2"/>
  <c r="CW97" i="2"/>
  <c r="CV97" i="2"/>
  <c r="CU97" i="2"/>
  <c r="CT97" i="2"/>
  <c r="CS97" i="2"/>
  <c r="CR97" i="2"/>
  <c r="CQ97" i="2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M97" i="2"/>
  <c r="A97" i="2"/>
  <c r="DJ96" i="2"/>
  <c r="DI96" i="2"/>
  <c r="DH96" i="2"/>
  <c r="DG96" i="2"/>
  <c r="DF96" i="2"/>
  <c r="DE96" i="2"/>
  <c r="DD96" i="2"/>
  <c r="DC96" i="2"/>
  <c r="DB96" i="2"/>
  <c r="DA96" i="2"/>
  <c r="CZ96" i="2"/>
  <c r="CY96" i="2"/>
  <c r="CX96" i="2"/>
  <c r="CW96" i="2"/>
  <c r="CV96" i="2"/>
  <c r="CU96" i="2"/>
  <c r="CT96" i="2"/>
  <c r="CS96" i="2"/>
  <c r="CR96" i="2"/>
  <c r="CQ96" i="2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M96" i="2"/>
  <c r="A96" i="2"/>
  <c r="DJ95" i="2"/>
  <c r="DI95" i="2"/>
  <c r="DH95" i="2"/>
  <c r="DG95" i="2"/>
  <c r="DF95" i="2"/>
  <c r="DE95" i="2"/>
  <c r="DD95" i="2"/>
  <c r="DC95" i="2"/>
  <c r="DB95" i="2"/>
  <c r="DA95" i="2"/>
  <c r="CZ95" i="2"/>
  <c r="CY95" i="2"/>
  <c r="CX95" i="2"/>
  <c r="CW95" i="2"/>
  <c r="CV95" i="2"/>
  <c r="CU95" i="2"/>
  <c r="CT95" i="2"/>
  <c r="CS95" i="2"/>
  <c r="CR95" i="2"/>
  <c r="CQ95" i="2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M95" i="2"/>
  <c r="A95" i="2"/>
  <c r="DJ94" i="2"/>
  <c r="DI94" i="2"/>
  <c r="DH94" i="2"/>
  <c r="DG94" i="2"/>
  <c r="DF94" i="2"/>
  <c r="DE94" i="2"/>
  <c r="DD94" i="2"/>
  <c r="DC94" i="2"/>
  <c r="DB94" i="2"/>
  <c r="DA94" i="2"/>
  <c r="CZ94" i="2"/>
  <c r="CY94" i="2"/>
  <c r="CX94" i="2"/>
  <c r="CW94" i="2"/>
  <c r="CV94" i="2"/>
  <c r="CU94" i="2"/>
  <c r="CT94" i="2"/>
  <c r="CS94" i="2"/>
  <c r="CR94" i="2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M94" i="2"/>
  <c r="A94" i="2"/>
  <c r="DJ93" i="2"/>
  <c r="DI93" i="2"/>
  <c r="DH93" i="2"/>
  <c r="DG93" i="2"/>
  <c r="DF93" i="2"/>
  <c r="DE93" i="2"/>
  <c r="DD93" i="2"/>
  <c r="DC93" i="2"/>
  <c r="DB93" i="2"/>
  <c r="DA93" i="2"/>
  <c r="CZ93" i="2"/>
  <c r="CY93" i="2"/>
  <c r="CX93" i="2"/>
  <c r="CW93" i="2"/>
  <c r="CV93" i="2"/>
  <c r="CU93" i="2"/>
  <c r="CT93" i="2"/>
  <c r="CS93" i="2"/>
  <c r="CR93" i="2"/>
  <c r="CQ93" i="2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M93" i="2"/>
  <c r="A93" i="2"/>
  <c r="DJ92" i="2"/>
  <c r="DI92" i="2"/>
  <c r="DH92" i="2"/>
  <c r="DG92" i="2"/>
  <c r="DF92" i="2"/>
  <c r="DE92" i="2"/>
  <c r="DD92" i="2"/>
  <c r="DC92" i="2"/>
  <c r="DB92" i="2"/>
  <c r="DA92" i="2"/>
  <c r="CZ92" i="2"/>
  <c r="CY92" i="2"/>
  <c r="CX92" i="2"/>
  <c r="CW92" i="2"/>
  <c r="CV92" i="2"/>
  <c r="CU92" i="2"/>
  <c r="CT92" i="2"/>
  <c r="CS92" i="2"/>
  <c r="CR92" i="2"/>
  <c r="CQ92" i="2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M92" i="2"/>
  <c r="A92" i="2"/>
  <c r="DJ91" i="2"/>
  <c r="DI91" i="2"/>
  <c r="DH91" i="2"/>
  <c r="DG91" i="2"/>
  <c r="DF91" i="2"/>
  <c r="DE91" i="2"/>
  <c r="DD91" i="2"/>
  <c r="DC91" i="2"/>
  <c r="DB91" i="2"/>
  <c r="DA91" i="2"/>
  <c r="CZ91" i="2"/>
  <c r="CY91" i="2"/>
  <c r="CX91" i="2"/>
  <c r="CW91" i="2"/>
  <c r="CV91" i="2"/>
  <c r="CU91" i="2"/>
  <c r="CT91" i="2"/>
  <c r="CS91" i="2"/>
  <c r="CR91" i="2"/>
  <c r="CQ91" i="2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M91" i="2"/>
  <c r="A91" i="2"/>
  <c r="DJ90" i="2"/>
  <c r="DI90" i="2"/>
  <c r="DH90" i="2"/>
  <c r="DG90" i="2"/>
  <c r="DF90" i="2"/>
  <c r="DE90" i="2"/>
  <c r="DD90" i="2"/>
  <c r="DC90" i="2"/>
  <c r="DB90" i="2"/>
  <c r="DA90" i="2"/>
  <c r="CZ90" i="2"/>
  <c r="CY90" i="2"/>
  <c r="CX90" i="2"/>
  <c r="CW90" i="2"/>
  <c r="CV90" i="2"/>
  <c r="CU90" i="2"/>
  <c r="CT90" i="2"/>
  <c r="CS90" i="2"/>
  <c r="CR90" i="2"/>
  <c r="CQ90" i="2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M90" i="2"/>
  <c r="A90" i="2"/>
  <c r="DJ89" i="2"/>
  <c r="DI89" i="2"/>
  <c r="DH89" i="2"/>
  <c r="DG89" i="2"/>
  <c r="DF89" i="2"/>
  <c r="DE89" i="2"/>
  <c r="DD89" i="2"/>
  <c r="DC89" i="2"/>
  <c r="DB89" i="2"/>
  <c r="DA89" i="2"/>
  <c r="CZ89" i="2"/>
  <c r="CY89" i="2"/>
  <c r="CX89" i="2"/>
  <c r="CW89" i="2"/>
  <c r="CV89" i="2"/>
  <c r="CU89" i="2"/>
  <c r="CT89" i="2"/>
  <c r="CS89" i="2"/>
  <c r="CR89" i="2"/>
  <c r="CQ89" i="2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M89" i="2"/>
  <c r="A89" i="2"/>
  <c r="DJ88" i="2"/>
  <c r="DI88" i="2"/>
  <c r="DH88" i="2"/>
  <c r="DG88" i="2"/>
  <c r="DF88" i="2"/>
  <c r="DE88" i="2"/>
  <c r="DD88" i="2"/>
  <c r="DC88" i="2"/>
  <c r="DB88" i="2"/>
  <c r="DA88" i="2"/>
  <c r="CZ88" i="2"/>
  <c r="CY88" i="2"/>
  <c r="CX88" i="2"/>
  <c r="CW88" i="2"/>
  <c r="CV88" i="2"/>
  <c r="CU88" i="2"/>
  <c r="CT88" i="2"/>
  <c r="CS88" i="2"/>
  <c r="CR88" i="2"/>
  <c r="CQ88" i="2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M88" i="2"/>
  <c r="A88" i="2"/>
  <c r="DJ87" i="2"/>
  <c r="DI87" i="2"/>
  <c r="DH87" i="2"/>
  <c r="DG87" i="2"/>
  <c r="DF87" i="2"/>
  <c r="DE87" i="2"/>
  <c r="DD87" i="2"/>
  <c r="DC87" i="2"/>
  <c r="DB87" i="2"/>
  <c r="DA87" i="2"/>
  <c r="CZ87" i="2"/>
  <c r="CY87" i="2"/>
  <c r="CX87" i="2"/>
  <c r="CW87" i="2"/>
  <c r="CV87" i="2"/>
  <c r="CU87" i="2"/>
  <c r="CT87" i="2"/>
  <c r="CS87" i="2"/>
  <c r="CR87" i="2"/>
  <c r="CQ87" i="2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M87" i="2"/>
  <c r="A87" i="2"/>
  <c r="DJ86" i="2"/>
  <c r="DI86" i="2"/>
  <c r="DH86" i="2"/>
  <c r="DG86" i="2"/>
  <c r="DF86" i="2"/>
  <c r="DE86" i="2"/>
  <c r="DD86" i="2"/>
  <c r="DC86" i="2"/>
  <c r="DB86" i="2"/>
  <c r="DA86" i="2"/>
  <c r="CZ86" i="2"/>
  <c r="CY86" i="2"/>
  <c r="CX86" i="2"/>
  <c r="CW86" i="2"/>
  <c r="CV86" i="2"/>
  <c r="CU86" i="2"/>
  <c r="CT86" i="2"/>
  <c r="CS86" i="2"/>
  <c r="CR86" i="2"/>
  <c r="CQ86" i="2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M86" i="2"/>
  <c r="A86" i="2"/>
  <c r="DJ85" i="2"/>
  <c r="DI85" i="2"/>
  <c r="DH85" i="2"/>
  <c r="DG85" i="2"/>
  <c r="DF85" i="2"/>
  <c r="DE85" i="2"/>
  <c r="DD85" i="2"/>
  <c r="DC85" i="2"/>
  <c r="DB85" i="2"/>
  <c r="DA85" i="2"/>
  <c r="CZ85" i="2"/>
  <c r="CY85" i="2"/>
  <c r="CX85" i="2"/>
  <c r="CW85" i="2"/>
  <c r="CV85" i="2"/>
  <c r="CU85" i="2"/>
  <c r="CT85" i="2"/>
  <c r="CS85" i="2"/>
  <c r="CR85" i="2"/>
  <c r="CQ85" i="2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M85" i="2"/>
  <c r="A85" i="2"/>
  <c r="DJ84" i="2"/>
  <c r="DI84" i="2"/>
  <c r="DH84" i="2"/>
  <c r="DG84" i="2"/>
  <c r="DF84" i="2"/>
  <c r="DE84" i="2"/>
  <c r="DD84" i="2"/>
  <c r="DC84" i="2"/>
  <c r="DB84" i="2"/>
  <c r="DA84" i="2"/>
  <c r="CZ84" i="2"/>
  <c r="CY84" i="2"/>
  <c r="CX84" i="2"/>
  <c r="CW84" i="2"/>
  <c r="CV84" i="2"/>
  <c r="CU84" i="2"/>
  <c r="CT84" i="2"/>
  <c r="CS84" i="2"/>
  <c r="CR84" i="2"/>
  <c r="CQ84" i="2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M84" i="2"/>
  <c r="A84" i="2"/>
  <c r="DJ83" i="2"/>
  <c r="DI83" i="2"/>
  <c r="DH83" i="2"/>
  <c r="DG83" i="2"/>
  <c r="DF83" i="2"/>
  <c r="DE83" i="2"/>
  <c r="DD83" i="2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M83" i="2"/>
  <c r="A83" i="2"/>
  <c r="DJ82" i="2"/>
  <c r="DI82" i="2"/>
  <c r="DH82" i="2"/>
  <c r="DG82" i="2"/>
  <c r="DF82" i="2"/>
  <c r="DE82" i="2"/>
  <c r="DD82" i="2"/>
  <c r="DC82" i="2"/>
  <c r="DB82" i="2"/>
  <c r="DA82" i="2"/>
  <c r="CZ82" i="2"/>
  <c r="CY82" i="2"/>
  <c r="CX82" i="2"/>
  <c r="CW82" i="2"/>
  <c r="CV82" i="2"/>
  <c r="CU82" i="2"/>
  <c r="CT82" i="2"/>
  <c r="CS82" i="2"/>
  <c r="CR82" i="2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M82" i="2"/>
  <c r="A82" i="2"/>
  <c r="DJ81" i="2"/>
  <c r="DI81" i="2"/>
  <c r="DH81" i="2"/>
  <c r="DG81" i="2"/>
  <c r="DF81" i="2"/>
  <c r="DE81" i="2"/>
  <c r="DD81" i="2"/>
  <c r="DC81" i="2"/>
  <c r="DB81" i="2"/>
  <c r="DA81" i="2"/>
  <c r="CZ81" i="2"/>
  <c r="CY81" i="2"/>
  <c r="CX81" i="2"/>
  <c r="CW81" i="2"/>
  <c r="CV81" i="2"/>
  <c r="CU81" i="2"/>
  <c r="CT81" i="2"/>
  <c r="CS81" i="2"/>
  <c r="CR81" i="2"/>
  <c r="CQ81" i="2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M81" i="2"/>
  <c r="A81" i="2"/>
  <c r="DJ80" i="2"/>
  <c r="DI80" i="2"/>
  <c r="DH80" i="2"/>
  <c r="DG80" i="2"/>
  <c r="DF80" i="2"/>
  <c r="DE80" i="2"/>
  <c r="DD80" i="2"/>
  <c r="DC80" i="2"/>
  <c r="DB80" i="2"/>
  <c r="DA80" i="2"/>
  <c r="CZ80" i="2"/>
  <c r="CY80" i="2"/>
  <c r="CX80" i="2"/>
  <c r="CW80" i="2"/>
  <c r="CV80" i="2"/>
  <c r="CU80" i="2"/>
  <c r="CT80" i="2"/>
  <c r="CS80" i="2"/>
  <c r="CR80" i="2"/>
  <c r="CQ80" i="2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M80" i="2"/>
  <c r="A80" i="2"/>
  <c r="DJ79" i="2"/>
  <c r="DI79" i="2"/>
  <c r="DH79" i="2"/>
  <c r="DG79" i="2"/>
  <c r="DF79" i="2"/>
  <c r="DE79" i="2"/>
  <c r="DD79" i="2"/>
  <c r="DC79" i="2"/>
  <c r="DB79" i="2"/>
  <c r="DA79" i="2"/>
  <c r="CZ79" i="2"/>
  <c r="CY79" i="2"/>
  <c r="CX79" i="2"/>
  <c r="CW79" i="2"/>
  <c r="CV79" i="2"/>
  <c r="CU79" i="2"/>
  <c r="CT79" i="2"/>
  <c r="CS79" i="2"/>
  <c r="CR79" i="2"/>
  <c r="CQ79" i="2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M79" i="2"/>
  <c r="A79" i="2"/>
  <c r="DJ78" i="2"/>
  <c r="DI78" i="2"/>
  <c r="DH78" i="2"/>
  <c r="DG78" i="2"/>
  <c r="DF78" i="2"/>
  <c r="DE78" i="2"/>
  <c r="DD78" i="2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M78" i="2"/>
  <c r="A78" i="2"/>
  <c r="DJ77" i="2"/>
  <c r="DI77" i="2"/>
  <c r="DH77" i="2"/>
  <c r="DG77" i="2"/>
  <c r="DF77" i="2"/>
  <c r="DE77" i="2"/>
  <c r="DD77" i="2"/>
  <c r="DC77" i="2"/>
  <c r="DB77" i="2"/>
  <c r="DA77" i="2"/>
  <c r="CZ77" i="2"/>
  <c r="CY77" i="2"/>
  <c r="CX77" i="2"/>
  <c r="CW77" i="2"/>
  <c r="CV77" i="2"/>
  <c r="CU77" i="2"/>
  <c r="CT77" i="2"/>
  <c r="CS77" i="2"/>
  <c r="CR77" i="2"/>
  <c r="CQ77" i="2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M77" i="2"/>
  <c r="A77" i="2"/>
  <c r="DJ76" i="2"/>
  <c r="DI76" i="2"/>
  <c r="DH76" i="2"/>
  <c r="DG76" i="2"/>
  <c r="DF76" i="2"/>
  <c r="DE76" i="2"/>
  <c r="DD76" i="2"/>
  <c r="DC76" i="2"/>
  <c r="DB76" i="2"/>
  <c r="DA76" i="2"/>
  <c r="CZ76" i="2"/>
  <c r="CY76" i="2"/>
  <c r="CX76" i="2"/>
  <c r="CW76" i="2"/>
  <c r="CV76" i="2"/>
  <c r="CU76" i="2"/>
  <c r="CT76" i="2"/>
  <c r="CS76" i="2"/>
  <c r="CR76" i="2"/>
  <c r="CQ76" i="2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M76" i="2"/>
  <c r="A76" i="2"/>
  <c r="DJ75" i="2"/>
  <c r="DI75" i="2"/>
  <c r="DH75" i="2"/>
  <c r="DG75" i="2"/>
  <c r="DF75" i="2"/>
  <c r="DE75" i="2"/>
  <c r="DD75" i="2"/>
  <c r="DC75" i="2"/>
  <c r="DB75" i="2"/>
  <c r="DA75" i="2"/>
  <c r="CZ75" i="2"/>
  <c r="CY75" i="2"/>
  <c r="CX75" i="2"/>
  <c r="CW75" i="2"/>
  <c r="CV75" i="2"/>
  <c r="CU75" i="2"/>
  <c r="CT75" i="2"/>
  <c r="CS75" i="2"/>
  <c r="CR75" i="2"/>
  <c r="CQ75" i="2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M75" i="2"/>
  <c r="A75" i="2"/>
  <c r="DJ74" i="2"/>
  <c r="DI74" i="2"/>
  <c r="DH74" i="2"/>
  <c r="DG74" i="2"/>
  <c r="DF74" i="2"/>
  <c r="DE74" i="2"/>
  <c r="DD74" i="2"/>
  <c r="DC74" i="2"/>
  <c r="DB74" i="2"/>
  <c r="DA74" i="2"/>
  <c r="CZ74" i="2"/>
  <c r="CY74" i="2"/>
  <c r="CX74" i="2"/>
  <c r="CW74" i="2"/>
  <c r="CV74" i="2"/>
  <c r="CU74" i="2"/>
  <c r="CT74" i="2"/>
  <c r="CS74" i="2"/>
  <c r="CR74" i="2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M74" i="2"/>
  <c r="A74" i="2"/>
  <c r="DJ73" i="2"/>
  <c r="DI73" i="2"/>
  <c r="DH73" i="2"/>
  <c r="DG73" i="2"/>
  <c r="DF73" i="2"/>
  <c r="DE73" i="2"/>
  <c r="DD73" i="2"/>
  <c r="DC73" i="2"/>
  <c r="DB73" i="2"/>
  <c r="DA73" i="2"/>
  <c r="CZ73" i="2"/>
  <c r="CY73" i="2"/>
  <c r="CX73" i="2"/>
  <c r="CW73" i="2"/>
  <c r="CV73" i="2"/>
  <c r="CU73" i="2"/>
  <c r="CT73" i="2"/>
  <c r="CS73" i="2"/>
  <c r="CR73" i="2"/>
  <c r="CQ73" i="2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M73" i="2"/>
  <c r="A73" i="2"/>
  <c r="DJ72" i="2"/>
  <c r="DI72" i="2"/>
  <c r="DH72" i="2"/>
  <c r="DG72" i="2"/>
  <c r="DF72" i="2"/>
  <c r="DE72" i="2"/>
  <c r="DD72" i="2"/>
  <c r="DC72" i="2"/>
  <c r="DB72" i="2"/>
  <c r="DA72" i="2"/>
  <c r="CZ72" i="2"/>
  <c r="CY72" i="2"/>
  <c r="CX72" i="2"/>
  <c r="CW72" i="2"/>
  <c r="CV72" i="2"/>
  <c r="CU72" i="2"/>
  <c r="CT72" i="2"/>
  <c r="CS72" i="2"/>
  <c r="CR72" i="2"/>
  <c r="CQ72" i="2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M72" i="2"/>
  <c r="A72" i="2"/>
  <c r="DJ71" i="2"/>
  <c r="DI71" i="2"/>
  <c r="DH71" i="2"/>
  <c r="DG71" i="2"/>
  <c r="DF71" i="2"/>
  <c r="DE71" i="2"/>
  <c r="DD71" i="2"/>
  <c r="DC71" i="2"/>
  <c r="DB71" i="2"/>
  <c r="DA71" i="2"/>
  <c r="CZ71" i="2"/>
  <c r="CY71" i="2"/>
  <c r="CX71" i="2"/>
  <c r="CW71" i="2"/>
  <c r="CV71" i="2"/>
  <c r="CU71" i="2"/>
  <c r="CT71" i="2"/>
  <c r="CS71" i="2"/>
  <c r="CR71" i="2"/>
  <c r="CQ71" i="2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M71" i="2"/>
  <c r="A71" i="2"/>
  <c r="DJ70" i="2"/>
  <c r="DI70" i="2"/>
  <c r="DH70" i="2"/>
  <c r="DG70" i="2"/>
  <c r="DF70" i="2"/>
  <c r="DE70" i="2"/>
  <c r="DD70" i="2"/>
  <c r="DC70" i="2"/>
  <c r="DB70" i="2"/>
  <c r="DA70" i="2"/>
  <c r="CZ70" i="2"/>
  <c r="CY70" i="2"/>
  <c r="CX70" i="2"/>
  <c r="CW70" i="2"/>
  <c r="CV70" i="2"/>
  <c r="CU70" i="2"/>
  <c r="CT70" i="2"/>
  <c r="CS70" i="2"/>
  <c r="CR70" i="2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M70" i="2"/>
  <c r="A70" i="2"/>
  <c r="DJ69" i="2"/>
  <c r="DI69" i="2"/>
  <c r="DH69" i="2"/>
  <c r="DG69" i="2"/>
  <c r="DF69" i="2"/>
  <c r="DE69" i="2"/>
  <c r="DD69" i="2"/>
  <c r="DC69" i="2"/>
  <c r="DB69" i="2"/>
  <c r="DA69" i="2"/>
  <c r="CZ69" i="2"/>
  <c r="CY69" i="2"/>
  <c r="CX69" i="2"/>
  <c r="CW69" i="2"/>
  <c r="CV69" i="2"/>
  <c r="CU69" i="2"/>
  <c r="CT69" i="2"/>
  <c r="CS69" i="2"/>
  <c r="CR69" i="2"/>
  <c r="CQ69" i="2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V69" i="2"/>
  <c r="BU69" i="2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M69" i="2"/>
  <c r="A69" i="2"/>
  <c r="DJ68" i="2"/>
  <c r="DI68" i="2"/>
  <c r="DH68" i="2"/>
  <c r="DG68" i="2"/>
  <c r="DF68" i="2"/>
  <c r="DE68" i="2"/>
  <c r="DD68" i="2"/>
  <c r="DC68" i="2"/>
  <c r="DB68" i="2"/>
  <c r="DA68" i="2"/>
  <c r="CZ68" i="2"/>
  <c r="CY68" i="2"/>
  <c r="CX68" i="2"/>
  <c r="CW68" i="2"/>
  <c r="CV68" i="2"/>
  <c r="CU68" i="2"/>
  <c r="CT68" i="2"/>
  <c r="CS68" i="2"/>
  <c r="CR68" i="2"/>
  <c r="CQ68" i="2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M68" i="2"/>
  <c r="A68" i="2"/>
  <c r="DJ67" i="2"/>
  <c r="DI67" i="2"/>
  <c r="DH67" i="2"/>
  <c r="DG67" i="2"/>
  <c r="DF67" i="2"/>
  <c r="DE67" i="2"/>
  <c r="DD67" i="2"/>
  <c r="DC67" i="2"/>
  <c r="DB67" i="2"/>
  <c r="DA67" i="2"/>
  <c r="CZ67" i="2"/>
  <c r="CY67" i="2"/>
  <c r="CX67" i="2"/>
  <c r="CW67" i="2"/>
  <c r="CV67" i="2"/>
  <c r="CU67" i="2"/>
  <c r="CT67" i="2"/>
  <c r="CS67" i="2"/>
  <c r="CR67" i="2"/>
  <c r="CQ67" i="2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M67" i="2"/>
  <c r="A67" i="2"/>
  <c r="DJ66" i="2"/>
  <c r="DI66" i="2"/>
  <c r="DH66" i="2"/>
  <c r="DG66" i="2"/>
  <c r="DF66" i="2"/>
  <c r="DE66" i="2"/>
  <c r="DD66" i="2"/>
  <c r="DC66" i="2"/>
  <c r="DB66" i="2"/>
  <c r="DA66" i="2"/>
  <c r="CZ66" i="2"/>
  <c r="CY66" i="2"/>
  <c r="CX66" i="2"/>
  <c r="CW66" i="2"/>
  <c r="CV66" i="2"/>
  <c r="CU66" i="2"/>
  <c r="CT66" i="2"/>
  <c r="CS66" i="2"/>
  <c r="CR66" i="2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M66" i="2"/>
  <c r="A66" i="2"/>
  <c r="DJ65" i="2"/>
  <c r="DI65" i="2"/>
  <c r="DH65" i="2"/>
  <c r="DG65" i="2"/>
  <c r="DF65" i="2"/>
  <c r="DE65" i="2"/>
  <c r="DD65" i="2"/>
  <c r="DC65" i="2"/>
  <c r="DB65" i="2"/>
  <c r="DA65" i="2"/>
  <c r="CZ65" i="2"/>
  <c r="CY65" i="2"/>
  <c r="CX65" i="2"/>
  <c r="CW65" i="2"/>
  <c r="CV65" i="2"/>
  <c r="CU65" i="2"/>
  <c r="CT65" i="2"/>
  <c r="CS65" i="2"/>
  <c r="CR65" i="2"/>
  <c r="CQ65" i="2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M65" i="2"/>
  <c r="A65" i="2"/>
  <c r="DJ64" i="2"/>
  <c r="DI64" i="2"/>
  <c r="DH64" i="2"/>
  <c r="DG64" i="2"/>
  <c r="DF64" i="2"/>
  <c r="DE64" i="2"/>
  <c r="DD64" i="2"/>
  <c r="DC64" i="2"/>
  <c r="DB64" i="2"/>
  <c r="DA64" i="2"/>
  <c r="CZ64" i="2"/>
  <c r="CY64" i="2"/>
  <c r="CX64" i="2"/>
  <c r="CW64" i="2"/>
  <c r="CV64" i="2"/>
  <c r="CU64" i="2"/>
  <c r="CT64" i="2"/>
  <c r="CS64" i="2"/>
  <c r="CR64" i="2"/>
  <c r="CQ64" i="2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M64" i="2"/>
  <c r="A64" i="2"/>
  <c r="DJ63" i="2"/>
  <c r="DI63" i="2"/>
  <c r="DH63" i="2"/>
  <c r="DG63" i="2"/>
  <c r="DF63" i="2"/>
  <c r="DE63" i="2"/>
  <c r="DD63" i="2"/>
  <c r="DC63" i="2"/>
  <c r="DB63" i="2"/>
  <c r="DA63" i="2"/>
  <c r="CZ63" i="2"/>
  <c r="CY63" i="2"/>
  <c r="CX63" i="2"/>
  <c r="CW63" i="2"/>
  <c r="CV63" i="2"/>
  <c r="CU63" i="2"/>
  <c r="CT63" i="2"/>
  <c r="CS63" i="2"/>
  <c r="CR63" i="2"/>
  <c r="CQ63" i="2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M63" i="2"/>
  <c r="A63" i="2"/>
  <c r="DJ62" i="2"/>
  <c r="DI62" i="2"/>
  <c r="DH62" i="2"/>
  <c r="DG62" i="2"/>
  <c r="DF62" i="2"/>
  <c r="DE62" i="2"/>
  <c r="DD62" i="2"/>
  <c r="DC62" i="2"/>
  <c r="DB62" i="2"/>
  <c r="DA62" i="2"/>
  <c r="CZ62" i="2"/>
  <c r="CY62" i="2"/>
  <c r="CX62" i="2"/>
  <c r="CW62" i="2"/>
  <c r="CV62" i="2"/>
  <c r="CU62" i="2"/>
  <c r="CT62" i="2"/>
  <c r="CS62" i="2"/>
  <c r="CR62" i="2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M62" i="2"/>
  <c r="A62" i="2"/>
  <c r="DJ61" i="2"/>
  <c r="DI61" i="2"/>
  <c r="DH61" i="2"/>
  <c r="DG61" i="2"/>
  <c r="DF61" i="2"/>
  <c r="DE61" i="2"/>
  <c r="DD61" i="2"/>
  <c r="DC61" i="2"/>
  <c r="DB61" i="2"/>
  <c r="DA61" i="2"/>
  <c r="CZ61" i="2"/>
  <c r="CY61" i="2"/>
  <c r="CX61" i="2"/>
  <c r="CW61" i="2"/>
  <c r="CV61" i="2"/>
  <c r="CU61" i="2"/>
  <c r="CT61" i="2"/>
  <c r="CS61" i="2"/>
  <c r="CR61" i="2"/>
  <c r="CQ61" i="2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M61" i="2"/>
  <c r="A61" i="2"/>
  <c r="DJ60" i="2"/>
  <c r="DI60" i="2"/>
  <c r="DH60" i="2"/>
  <c r="DG60" i="2"/>
  <c r="DF60" i="2"/>
  <c r="DE60" i="2"/>
  <c r="DD60" i="2"/>
  <c r="DC60" i="2"/>
  <c r="DB60" i="2"/>
  <c r="DA60" i="2"/>
  <c r="CZ60" i="2"/>
  <c r="CY60" i="2"/>
  <c r="CX60" i="2"/>
  <c r="CW60" i="2"/>
  <c r="CV60" i="2"/>
  <c r="CU60" i="2"/>
  <c r="CT60" i="2"/>
  <c r="CS60" i="2"/>
  <c r="CR60" i="2"/>
  <c r="CQ60" i="2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V60" i="2"/>
  <c r="BU60" i="2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M60" i="2"/>
  <c r="A60" i="2"/>
  <c r="DJ59" i="2"/>
  <c r="DI59" i="2"/>
  <c r="DH59" i="2"/>
  <c r="DG59" i="2"/>
  <c r="DF59" i="2"/>
  <c r="DE59" i="2"/>
  <c r="DD59" i="2"/>
  <c r="DC59" i="2"/>
  <c r="DB59" i="2"/>
  <c r="DA59" i="2"/>
  <c r="CZ59" i="2"/>
  <c r="CY59" i="2"/>
  <c r="CX59" i="2"/>
  <c r="CW59" i="2"/>
  <c r="CV59" i="2"/>
  <c r="CU59" i="2"/>
  <c r="CT59" i="2"/>
  <c r="CS59" i="2"/>
  <c r="CR59" i="2"/>
  <c r="CQ59" i="2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M59" i="2"/>
  <c r="A59" i="2"/>
  <c r="DJ58" i="2"/>
  <c r="DI58" i="2"/>
  <c r="DH58" i="2"/>
  <c r="DG58" i="2"/>
  <c r="DF58" i="2"/>
  <c r="DE58" i="2"/>
  <c r="DD58" i="2"/>
  <c r="DC58" i="2"/>
  <c r="DB58" i="2"/>
  <c r="DA58" i="2"/>
  <c r="CZ58" i="2"/>
  <c r="CY58" i="2"/>
  <c r="CX58" i="2"/>
  <c r="CW58" i="2"/>
  <c r="CV58" i="2"/>
  <c r="CU58" i="2"/>
  <c r="CT58" i="2"/>
  <c r="CS58" i="2"/>
  <c r="CR58" i="2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M58" i="2"/>
  <c r="A58" i="2"/>
  <c r="DJ57" i="2"/>
  <c r="DI57" i="2"/>
  <c r="DH57" i="2"/>
  <c r="DG57" i="2"/>
  <c r="DF57" i="2"/>
  <c r="DE57" i="2"/>
  <c r="DD57" i="2"/>
  <c r="DC57" i="2"/>
  <c r="DB57" i="2"/>
  <c r="DA57" i="2"/>
  <c r="CZ57" i="2"/>
  <c r="CY57" i="2"/>
  <c r="CX57" i="2"/>
  <c r="CW57" i="2"/>
  <c r="CV57" i="2"/>
  <c r="CU57" i="2"/>
  <c r="CT57" i="2"/>
  <c r="CS57" i="2"/>
  <c r="CR57" i="2"/>
  <c r="CQ57" i="2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V57" i="2"/>
  <c r="BU57" i="2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M57" i="2"/>
  <c r="A57" i="2"/>
  <c r="DJ56" i="2"/>
  <c r="DI56" i="2"/>
  <c r="DH56" i="2"/>
  <c r="DG56" i="2"/>
  <c r="DF56" i="2"/>
  <c r="DE56" i="2"/>
  <c r="DD56" i="2"/>
  <c r="DC56" i="2"/>
  <c r="DB56" i="2"/>
  <c r="DA56" i="2"/>
  <c r="CZ56" i="2"/>
  <c r="CY56" i="2"/>
  <c r="CX56" i="2"/>
  <c r="CW56" i="2"/>
  <c r="CV56" i="2"/>
  <c r="CU56" i="2"/>
  <c r="CT56" i="2"/>
  <c r="CS56" i="2"/>
  <c r="CR56" i="2"/>
  <c r="CQ56" i="2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M56" i="2"/>
  <c r="A56" i="2"/>
  <c r="DJ55" i="2"/>
  <c r="DI55" i="2"/>
  <c r="DH55" i="2"/>
  <c r="DG55" i="2"/>
  <c r="DF55" i="2"/>
  <c r="DE55" i="2"/>
  <c r="DD55" i="2"/>
  <c r="DC55" i="2"/>
  <c r="DB55" i="2"/>
  <c r="DA55" i="2"/>
  <c r="CZ55" i="2"/>
  <c r="CY55" i="2"/>
  <c r="CX55" i="2"/>
  <c r="CW55" i="2"/>
  <c r="CV55" i="2"/>
  <c r="CU55" i="2"/>
  <c r="CT55" i="2"/>
  <c r="CS55" i="2"/>
  <c r="CR55" i="2"/>
  <c r="CQ55" i="2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M55" i="2"/>
  <c r="A55" i="2"/>
  <c r="DJ54" i="2"/>
  <c r="DI54" i="2"/>
  <c r="DH54" i="2"/>
  <c r="DG54" i="2"/>
  <c r="DF54" i="2"/>
  <c r="DE54" i="2"/>
  <c r="DD54" i="2"/>
  <c r="DC54" i="2"/>
  <c r="DB54" i="2"/>
  <c r="DA54" i="2"/>
  <c r="CZ54" i="2"/>
  <c r="CY54" i="2"/>
  <c r="CX54" i="2"/>
  <c r="CW54" i="2"/>
  <c r="CV54" i="2"/>
  <c r="CU54" i="2"/>
  <c r="CT54" i="2"/>
  <c r="CS54" i="2"/>
  <c r="CR54" i="2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M54" i="2"/>
  <c r="A54" i="2"/>
  <c r="DJ53" i="2"/>
  <c r="DI53" i="2"/>
  <c r="DH53" i="2"/>
  <c r="DG53" i="2"/>
  <c r="DF53" i="2"/>
  <c r="DE53" i="2"/>
  <c r="DD53" i="2"/>
  <c r="DC53" i="2"/>
  <c r="DB53" i="2"/>
  <c r="DA53" i="2"/>
  <c r="CZ53" i="2"/>
  <c r="CY53" i="2"/>
  <c r="CX53" i="2"/>
  <c r="CW53" i="2"/>
  <c r="CV53" i="2"/>
  <c r="CU53" i="2"/>
  <c r="CT53" i="2"/>
  <c r="CS53" i="2"/>
  <c r="CR53" i="2"/>
  <c r="CQ53" i="2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M53" i="2"/>
  <c r="A53" i="2"/>
  <c r="DJ52" i="2"/>
  <c r="DI52" i="2"/>
  <c r="DH52" i="2"/>
  <c r="DG52" i="2"/>
  <c r="DF52" i="2"/>
  <c r="DE52" i="2"/>
  <c r="DD52" i="2"/>
  <c r="DC52" i="2"/>
  <c r="DB52" i="2"/>
  <c r="DA52" i="2"/>
  <c r="CZ52" i="2"/>
  <c r="CY52" i="2"/>
  <c r="CX52" i="2"/>
  <c r="CW52" i="2"/>
  <c r="CV52" i="2"/>
  <c r="CU52" i="2"/>
  <c r="CT52" i="2"/>
  <c r="CS52" i="2"/>
  <c r="CR52" i="2"/>
  <c r="CQ52" i="2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M52" i="2"/>
  <c r="A52" i="2"/>
  <c r="DJ51" i="2"/>
  <c r="DI51" i="2"/>
  <c r="DH51" i="2"/>
  <c r="DG51" i="2"/>
  <c r="DF51" i="2"/>
  <c r="DE51" i="2"/>
  <c r="DD51" i="2"/>
  <c r="DC51" i="2"/>
  <c r="DB51" i="2"/>
  <c r="DA51" i="2"/>
  <c r="CZ51" i="2"/>
  <c r="CY51" i="2"/>
  <c r="CX51" i="2"/>
  <c r="CW51" i="2"/>
  <c r="CV51" i="2"/>
  <c r="CU51" i="2"/>
  <c r="CT51" i="2"/>
  <c r="CS51" i="2"/>
  <c r="CR51" i="2"/>
  <c r="CQ51" i="2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M51" i="2"/>
  <c r="A51" i="2"/>
  <c r="DJ50" i="2"/>
  <c r="DI50" i="2"/>
  <c r="DH50" i="2"/>
  <c r="DG50" i="2"/>
  <c r="DF50" i="2"/>
  <c r="DE50" i="2"/>
  <c r="DD50" i="2"/>
  <c r="DC50" i="2"/>
  <c r="DB50" i="2"/>
  <c r="DA50" i="2"/>
  <c r="CZ50" i="2"/>
  <c r="CY50" i="2"/>
  <c r="CX50" i="2"/>
  <c r="CW50" i="2"/>
  <c r="CV50" i="2"/>
  <c r="CU50" i="2"/>
  <c r="CT50" i="2"/>
  <c r="CS50" i="2"/>
  <c r="CR50" i="2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M50" i="2"/>
  <c r="A50" i="2"/>
  <c r="DJ49" i="2"/>
  <c r="DI49" i="2"/>
  <c r="DH49" i="2"/>
  <c r="DG49" i="2"/>
  <c r="DF49" i="2"/>
  <c r="DE49" i="2"/>
  <c r="DD49" i="2"/>
  <c r="DC49" i="2"/>
  <c r="DB49" i="2"/>
  <c r="DA49" i="2"/>
  <c r="CZ49" i="2"/>
  <c r="CY49" i="2"/>
  <c r="CX49" i="2"/>
  <c r="CW49" i="2"/>
  <c r="CV49" i="2"/>
  <c r="CU49" i="2"/>
  <c r="CT49" i="2"/>
  <c r="CS49" i="2"/>
  <c r="CR49" i="2"/>
  <c r="CQ49" i="2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M49" i="2"/>
  <c r="A49" i="2"/>
  <c r="DJ48" i="2"/>
  <c r="DI48" i="2"/>
  <c r="DH48" i="2"/>
  <c r="DG48" i="2"/>
  <c r="DF48" i="2"/>
  <c r="DE48" i="2"/>
  <c r="DD48" i="2"/>
  <c r="DC48" i="2"/>
  <c r="DB48" i="2"/>
  <c r="DA48" i="2"/>
  <c r="CZ48" i="2"/>
  <c r="CY48" i="2"/>
  <c r="CX48" i="2"/>
  <c r="CW48" i="2"/>
  <c r="CV48" i="2"/>
  <c r="CU48" i="2"/>
  <c r="CT48" i="2"/>
  <c r="CS48" i="2"/>
  <c r="CR48" i="2"/>
  <c r="CQ48" i="2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M48" i="2"/>
  <c r="A48" i="2"/>
  <c r="DJ47" i="2"/>
  <c r="DI47" i="2"/>
  <c r="DH47" i="2"/>
  <c r="DG47" i="2"/>
  <c r="DF47" i="2"/>
  <c r="DE47" i="2"/>
  <c r="DD47" i="2"/>
  <c r="DC47" i="2"/>
  <c r="DB47" i="2"/>
  <c r="DA47" i="2"/>
  <c r="CZ47" i="2"/>
  <c r="CY47" i="2"/>
  <c r="CX47" i="2"/>
  <c r="CW47" i="2"/>
  <c r="CV47" i="2"/>
  <c r="CU47" i="2"/>
  <c r="CT47" i="2"/>
  <c r="CS47" i="2"/>
  <c r="CR47" i="2"/>
  <c r="CQ47" i="2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M47" i="2"/>
  <c r="A47" i="2"/>
  <c r="DJ46" i="2"/>
  <c r="DI46" i="2"/>
  <c r="DH46" i="2"/>
  <c r="DG46" i="2"/>
  <c r="DF46" i="2"/>
  <c r="DE46" i="2"/>
  <c r="DD46" i="2"/>
  <c r="DC46" i="2"/>
  <c r="DB46" i="2"/>
  <c r="DA46" i="2"/>
  <c r="CZ46" i="2"/>
  <c r="CY46" i="2"/>
  <c r="CX46" i="2"/>
  <c r="CW46" i="2"/>
  <c r="CV46" i="2"/>
  <c r="CU46" i="2"/>
  <c r="CT46" i="2"/>
  <c r="CS46" i="2"/>
  <c r="CR46" i="2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M46" i="2"/>
  <c r="A46" i="2"/>
  <c r="DJ45" i="2"/>
  <c r="DI45" i="2"/>
  <c r="DH45" i="2"/>
  <c r="DG45" i="2"/>
  <c r="DF45" i="2"/>
  <c r="DE45" i="2"/>
  <c r="DD45" i="2"/>
  <c r="DC45" i="2"/>
  <c r="DB45" i="2"/>
  <c r="DA45" i="2"/>
  <c r="CZ45" i="2"/>
  <c r="CY45" i="2"/>
  <c r="CX45" i="2"/>
  <c r="CW45" i="2"/>
  <c r="CV45" i="2"/>
  <c r="CU45" i="2"/>
  <c r="CT45" i="2"/>
  <c r="CS45" i="2"/>
  <c r="CR45" i="2"/>
  <c r="CQ45" i="2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M45" i="2"/>
  <c r="A45" i="2"/>
  <c r="DJ44" i="2"/>
  <c r="DI44" i="2"/>
  <c r="DH44" i="2"/>
  <c r="DG44" i="2"/>
  <c r="DF44" i="2"/>
  <c r="DE44" i="2"/>
  <c r="DD44" i="2"/>
  <c r="DC44" i="2"/>
  <c r="DB44" i="2"/>
  <c r="DA44" i="2"/>
  <c r="CZ44" i="2"/>
  <c r="CY44" i="2"/>
  <c r="CX44" i="2"/>
  <c r="CW44" i="2"/>
  <c r="CV44" i="2"/>
  <c r="CU44" i="2"/>
  <c r="CT44" i="2"/>
  <c r="CS44" i="2"/>
  <c r="CR44" i="2"/>
  <c r="CQ44" i="2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M44" i="2"/>
  <c r="A44" i="2"/>
  <c r="DJ43" i="2"/>
  <c r="DI43" i="2"/>
  <c r="DH43" i="2"/>
  <c r="DG43" i="2"/>
  <c r="DF43" i="2"/>
  <c r="DE43" i="2"/>
  <c r="DD43" i="2"/>
  <c r="DC43" i="2"/>
  <c r="DB43" i="2"/>
  <c r="DA43" i="2"/>
  <c r="CZ43" i="2"/>
  <c r="CY43" i="2"/>
  <c r="CX43" i="2"/>
  <c r="CW43" i="2"/>
  <c r="CV43" i="2"/>
  <c r="CU43" i="2"/>
  <c r="CT43" i="2"/>
  <c r="CS43" i="2"/>
  <c r="CR43" i="2"/>
  <c r="CQ43" i="2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M43" i="2"/>
  <c r="A43" i="2"/>
  <c r="DJ42" i="2"/>
  <c r="DI42" i="2"/>
  <c r="DH42" i="2"/>
  <c r="DG42" i="2"/>
  <c r="DF42" i="2"/>
  <c r="DE42" i="2"/>
  <c r="DD42" i="2"/>
  <c r="DC42" i="2"/>
  <c r="DB42" i="2"/>
  <c r="DA42" i="2"/>
  <c r="CZ42" i="2"/>
  <c r="CY42" i="2"/>
  <c r="CX42" i="2"/>
  <c r="CW42" i="2"/>
  <c r="CV42" i="2"/>
  <c r="CU42" i="2"/>
  <c r="CT42" i="2"/>
  <c r="CS42" i="2"/>
  <c r="CR42" i="2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M42" i="2"/>
  <c r="A42" i="2"/>
  <c r="DJ41" i="2"/>
  <c r="DI41" i="2"/>
  <c r="DH41" i="2"/>
  <c r="DG41" i="2"/>
  <c r="DF41" i="2"/>
  <c r="DE41" i="2"/>
  <c r="DD41" i="2"/>
  <c r="DC41" i="2"/>
  <c r="DB41" i="2"/>
  <c r="DA41" i="2"/>
  <c r="CZ41" i="2"/>
  <c r="CY41" i="2"/>
  <c r="CX41" i="2"/>
  <c r="CW41" i="2"/>
  <c r="CV41" i="2"/>
  <c r="CU41" i="2"/>
  <c r="CT41" i="2"/>
  <c r="CS41" i="2"/>
  <c r="CR41" i="2"/>
  <c r="CQ41" i="2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M41" i="2"/>
  <c r="A41" i="2"/>
  <c r="DJ40" i="2"/>
  <c r="DI40" i="2"/>
  <c r="DH40" i="2"/>
  <c r="DG40" i="2"/>
  <c r="DF40" i="2"/>
  <c r="DE40" i="2"/>
  <c r="DD40" i="2"/>
  <c r="DC40" i="2"/>
  <c r="DB40" i="2"/>
  <c r="DA40" i="2"/>
  <c r="CZ40" i="2"/>
  <c r="CY40" i="2"/>
  <c r="CX40" i="2"/>
  <c r="CW40" i="2"/>
  <c r="CV40" i="2"/>
  <c r="CU40" i="2"/>
  <c r="CT40" i="2"/>
  <c r="CS40" i="2"/>
  <c r="CR40" i="2"/>
  <c r="CQ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M40" i="2"/>
  <c r="A40" i="2"/>
  <c r="DJ39" i="2"/>
  <c r="DI39" i="2"/>
  <c r="DH39" i="2"/>
  <c r="DG39" i="2"/>
  <c r="DF39" i="2"/>
  <c r="DE39" i="2"/>
  <c r="DD39" i="2"/>
  <c r="DC39" i="2"/>
  <c r="DB39" i="2"/>
  <c r="DA39" i="2"/>
  <c r="CZ39" i="2"/>
  <c r="CY39" i="2"/>
  <c r="CX39" i="2"/>
  <c r="CW39" i="2"/>
  <c r="CV39" i="2"/>
  <c r="CU39" i="2"/>
  <c r="CT39" i="2"/>
  <c r="CS39" i="2"/>
  <c r="CR39" i="2"/>
  <c r="CQ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M39" i="2"/>
  <c r="A39" i="2"/>
  <c r="DJ38" i="2"/>
  <c r="DI38" i="2"/>
  <c r="DH38" i="2"/>
  <c r="DG38" i="2"/>
  <c r="DF38" i="2"/>
  <c r="DE38" i="2"/>
  <c r="DD38" i="2"/>
  <c r="DC38" i="2"/>
  <c r="DB38" i="2"/>
  <c r="DA38" i="2"/>
  <c r="CZ38" i="2"/>
  <c r="CY38" i="2"/>
  <c r="CX38" i="2"/>
  <c r="CW38" i="2"/>
  <c r="CV38" i="2"/>
  <c r="CU38" i="2"/>
  <c r="CT38" i="2"/>
  <c r="CS38" i="2"/>
  <c r="CR38" i="2"/>
  <c r="CQ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M38" i="2"/>
  <c r="A38" i="2"/>
  <c r="DJ37" i="2"/>
  <c r="DI37" i="2"/>
  <c r="DH37" i="2"/>
  <c r="DG37" i="2"/>
  <c r="DF37" i="2"/>
  <c r="DE37" i="2"/>
  <c r="DD37" i="2"/>
  <c r="DC37" i="2"/>
  <c r="DB37" i="2"/>
  <c r="DA37" i="2"/>
  <c r="CZ37" i="2"/>
  <c r="CY37" i="2"/>
  <c r="CX37" i="2"/>
  <c r="CW37" i="2"/>
  <c r="CV37" i="2"/>
  <c r="CU37" i="2"/>
  <c r="CT37" i="2"/>
  <c r="CS37" i="2"/>
  <c r="CR37" i="2"/>
  <c r="CQ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M37" i="2"/>
  <c r="A37" i="2"/>
  <c r="DJ36" i="2"/>
  <c r="DI36" i="2"/>
  <c r="DH36" i="2"/>
  <c r="DG36" i="2"/>
  <c r="DF36" i="2"/>
  <c r="DE36" i="2"/>
  <c r="DD36" i="2"/>
  <c r="DC36" i="2"/>
  <c r="DB36" i="2"/>
  <c r="DA36" i="2"/>
  <c r="CZ36" i="2"/>
  <c r="CY36" i="2"/>
  <c r="CX36" i="2"/>
  <c r="CW36" i="2"/>
  <c r="CV36" i="2"/>
  <c r="CU36" i="2"/>
  <c r="CT36" i="2"/>
  <c r="CS36" i="2"/>
  <c r="CR36" i="2"/>
  <c r="CQ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M36" i="2"/>
  <c r="A36" i="2"/>
  <c r="DJ35" i="2"/>
  <c r="DI35" i="2"/>
  <c r="DH35" i="2"/>
  <c r="DG35" i="2"/>
  <c r="DF35" i="2"/>
  <c r="DE35" i="2"/>
  <c r="DD35" i="2"/>
  <c r="DC35" i="2"/>
  <c r="DB35" i="2"/>
  <c r="DA35" i="2"/>
  <c r="CZ35" i="2"/>
  <c r="CY35" i="2"/>
  <c r="CX35" i="2"/>
  <c r="CW35" i="2"/>
  <c r="CV35" i="2"/>
  <c r="CU35" i="2"/>
  <c r="CT35" i="2"/>
  <c r="CS35" i="2"/>
  <c r="CR35" i="2"/>
  <c r="CQ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M35" i="2"/>
  <c r="A35" i="2"/>
  <c r="DJ34" i="2"/>
  <c r="DI34" i="2"/>
  <c r="DH34" i="2"/>
  <c r="DG34" i="2"/>
  <c r="DF34" i="2"/>
  <c r="DE34" i="2"/>
  <c r="DD34" i="2"/>
  <c r="DC34" i="2"/>
  <c r="DB34" i="2"/>
  <c r="DA34" i="2"/>
  <c r="CZ34" i="2"/>
  <c r="CY34" i="2"/>
  <c r="CX34" i="2"/>
  <c r="CW34" i="2"/>
  <c r="CV34" i="2"/>
  <c r="CU34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M34" i="2"/>
  <c r="A34" i="2"/>
  <c r="DJ33" i="2"/>
  <c r="DI33" i="2"/>
  <c r="DH33" i="2"/>
  <c r="DG33" i="2"/>
  <c r="DF33" i="2"/>
  <c r="DE33" i="2"/>
  <c r="DD33" i="2"/>
  <c r="DC33" i="2"/>
  <c r="DB33" i="2"/>
  <c r="DA33" i="2"/>
  <c r="CZ33" i="2"/>
  <c r="CY33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M33" i="2"/>
  <c r="A33" i="2"/>
  <c r="DJ32" i="2"/>
  <c r="DI32" i="2"/>
  <c r="DH32" i="2"/>
  <c r="DG32" i="2"/>
  <c r="DF32" i="2"/>
  <c r="DE32" i="2"/>
  <c r="DD32" i="2"/>
  <c r="DC32" i="2"/>
  <c r="DB32" i="2"/>
  <c r="DA32" i="2"/>
  <c r="CZ32" i="2"/>
  <c r="CY32" i="2"/>
  <c r="CX32" i="2"/>
  <c r="CW32" i="2"/>
  <c r="CV32" i="2"/>
  <c r="CU32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M32" i="2"/>
  <c r="A32" i="2"/>
  <c r="DJ31" i="2"/>
  <c r="DI31" i="2"/>
  <c r="DH31" i="2"/>
  <c r="DG31" i="2"/>
  <c r="DF31" i="2"/>
  <c r="DE31" i="2"/>
  <c r="DD31" i="2"/>
  <c r="DC31" i="2"/>
  <c r="DB31" i="2"/>
  <c r="DA31" i="2"/>
  <c r="CZ31" i="2"/>
  <c r="CY31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M31" i="2"/>
  <c r="A31" i="2"/>
  <c r="DJ30" i="2"/>
  <c r="DI30" i="2"/>
  <c r="DH30" i="2"/>
  <c r="DG30" i="2"/>
  <c r="DF30" i="2"/>
  <c r="DE30" i="2"/>
  <c r="DD30" i="2"/>
  <c r="DC30" i="2"/>
  <c r="DB30" i="2"/>
  <c r="DA30" i="2"/>
  <c r="CZ30" i="2"/>
  <c r="CY30" i="2"/>
  <c r="CX30" i="2"/>
  <c r="CW30" i="2"/>
  <c r="CV30" i="2"/>
  <c r="CU30" i="2"/>
  <c r="CT30" i="2"/>
  <c r="CS30" i="2"/>
  <c r="CR30" i="2"/>
  <c r="CQ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M30" i="2"/>
  <c r="A30" i="2"/>
  <c r="DJ29" i="2"/>
  <c r="DI29" i="2"/>
  <c r="DH29" i="2"/>
  <c r="DG29" i="2"/>
  <c r="DF29" i="2"/>
  <c r="DE29" i="2"/>
  <c r="DD29" i="2"/>
  <c r="DC29" i="2"/>
  <c r="DB29" i="2"/>
  <c r="DA29" i="2"/>
  <c r="CZ29" i="2"/>
  <c r="CY29" i="2"/>
  <c r="CX29" i="2"/>
  <c r="CW29" i="2"/>
  <c r="CV29" i="2"/>
  <c r="CU29" i="2"/>
  <c r="CT29" i="2"/>
  <c r="CS29" i="2"/>
  <c r="CR29" i="2"/>
  <c r="CQ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M29" i="2"/>
  <c r="A29" i="2"/>
  <c r="DJ28" i="2"/>
  <c r="DI28" i="2"/>
  <c r="DH28" i="2"/>
  <c r="DG28" i="2"/>
  <c r="DF28" i="2"/>
  <c r="DE28" i="2"/>
  <c r="DD28" i="2"/>
  <c r="DC28" i="2"/>
  <c r="DB28" i="2"/>
  <c r="DA28" i="2"/>
  <c r="CZ28" i="2"/>
  <c r="CY28" i="2"/>
  <c r="CX28" i="2"/>
  <c r="CW28" i="2"/>
  <c r="CV28" i="2"/>
  <c r="CU28" i="2"/>
  <c r="CT28" i="2"/>
  <c r="CS28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M28" i="2"/>
  <c r="A28" i="2"/>
  <c r="DJ27" i="2"/>
  <c r="DI27" i="2"/>
  <c r="DH27" i="2"/>
  <c r="DG27" i="2"/>
  <c r="DF27" i="2"/>
  <c r="DE27" i="2"/>
  <c r="DD27" i="2"/>
  <c r="DC27" i="2"/>
  <c r="DB27" i="2"/>
  <c r="DA27" i="2"/>
  <c r="CZ27" i="2"/>
  <c r="CY27" i="2"/>
  <c r="CX27" i="2"/>
  <c r="CW27" i="2"/>
  <c r="CV27" i="2"/>
  <c r="CU27" i="2"/>
  <c r="CT27" i="2"/>
  <c r="CS27" i="2"/>
  <c r="CR27" i="2"/>
  <c r="CQ27" i="2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M27" i="2"/>
  <c r="A27" i="2"/>
  <c r="DJ26" i="2"/>
  <c r="DI26" i="2"/>
  <c r="DH26" i="2"/>
  <c r="DG26" i="2"/>
  <c r="DF26" i="2"/>
  <c r="DE26" i="2"/>
  <c r="DD26" i="2"/>
  <c r="DC26" i="2"/>
  <c r="DB26" i="2"/>
  <c r="DA26" i="2"/>
  <c r="CZ26" i="2"/>
  <c r="CY26" i="2"/>
  <c r="CX26" i="2"/>
  <c r="CW26" i="2"/>
  <c r="CV26" i="2"/>
  <c r="CU26" i="2"/>
  <c r="CT26" i="2"/>
  <c r="CS26" i="2"/>
  <c r="CR26" i="2"/>
  <c r="CQ26" i="2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M26" i="2"/>
  <c r="A26" i="2"/>
  <c r="DJ25" i="2"/>
  <c r="DI25" i="2"/>
  <c r="DH25" i="2"/>
  <c r="DG25" i="2"/>
  <c r="DF25" i="2"/>
  <c r="DE25" i="2"/>
  <c r="DD25" i="2"/>
  <c r="DC25" i="2"/>
  <c r="DB25" i="2"/>
  <c r="DA25" i="2"/>
  <c r="CZ25" i="2"/>
  <c r="CY25" i="2"/>
  <c r="CX25" i="2"/>
  <c r="CW25" i="2"/>
  <c r="CV25" i="2"/>
  <c r="CU25" i="2"/>
  <c r="CT25" i="2"/>
  <c r="CS25" i="2"/>
  <c r="CR25" i="2"/>
  <c r="CQ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M25" i="2"/>
  <c r="A25" i="2"/>
  <c r="DJ24" i="2"/>
  <c r="DI24" i="2"/>
  <c r="DH24" i="2"/>
  <c r="DG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M24" i="2"/>
  <c r="A24" i="2"/>
  <c r="DJ23" i="2"/>
  <c r="DI23" i="2"/>
  <c r="DH23" i="2"/>
  <c r="DG23" i="2"/>
  <c r="DF23" i="2"/>
  <c r="DE23" i="2"/>
  <c r="DD23" i="2"/>
  <c r="DC23" i="2"/>
  <c r="DB23" i="2"/>
  <c r="DA23" i="2"/>
  <c r="CZ23" i="2"/>
  <c r="CY23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M23" i="2"/>
  <c r="A23" i="2"/>
  <c r="DJ22" i="2"/>
  <c r="DI22" i="2"/>
  <c r="DH22" i="2"/>
  <c r="DG22" i="2"/>
  <c r="DF22" i="2"/>
  <c r="DE22" i="2"/>
  <c r="DD22" i="2"/>
  <c r="DC22" i="2"/>
  <c r="DB22" i="2"/>
  <c r="DA22" i="2"/>
  <c r="CZ22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M22" i="2"/>
  <c r="A22" i="2"/>
  <c r="DJ21" i="2"/>
  <c r="DI21" i="2"/>
  <c r="DH21" i="2"/>
  <c r="DG21" i="2"/>
  <c r="DF21" i="2"/>
  <c r="DE21" i="2"/>
  <c r="DD21" i="2"/>
  <c r="DC21" i="2"/>
  <c r="DB21" i="2"/>
  <c r="DA21" i="2"/>
  <c r="CZ21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M21" i="2"/>
  <c r="A21" i="2"/>
  <c r="DJ20" i="2"/>
  <c r="DI20" i="2"/>
  <c r="DH20" i="2"/>
  <c r="DG20" i="2"/>
  <c r="DF20" i="2"/>
  <c r="DE20" i="2"/>
  <c r="DD20" i="2"/>
  <c r="DC20" i="2"/>
  <c r="DB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M20" i="2"/>
  <c r="A20" i="2"/>
  <c r="DJ19" i="2"/>
  <c r="DI19" i="2"/>
  <c r="DH19" i="2"/>
  <c r="DG19" i="2"/>
  <c r="DF19" i="2"/>
  <c r="DE19" i="2"/>
  <c r="DD19" i="2"/>
  <c r="DC19" i="2"/>
  <c r="DB19" i="2"/>
  <c r="DA19" i="2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M19" i="2"/>
  <c r="A19" i="2"/>
  <c r="DJ18" i="2"/>
  <c r="DI18" i="2"/>
  <c r="DH18" i="2"/>
  <c r="DG18" i="2"/>
  <c r="DF18" i="2"/>
  <c r="DE18" i="2"/>
  <c r="DD18" i="2"/>
  <c r="DC18" i="2"/>
  <c r="DB18" i="2"/>
  <c r="DA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M18" i="2"/>
  <c r="A18" i="2"/>
  <c r="DJ17" i="2"/>
  <c r="DI17" i="2"/>
  <c r="DH17" i="2"/>
  <c r="DG17" i="2"/>
  <c r="DF17" i="2"/>
  <c r="DE17" i="2"/>
  <c r="DD17" i="2"/>
  <c r="DC17" i="2"/>
  <c r="DB17" i="2"/>
  <c r="DA17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M17" i="2"/>
  <c r="A17" i="2"/>
  <c r="DJ16" i="2"/>
  <c r="DI16" i="2"/>
  <c r="DH16" i="2"/>
  <c r="DG16" i="2"/>
  <c r="DF16" i="2"/>
  <c r="DE16" i="2"/>
  <c r="DD16" i="2"/>
  <c r="DC16" i="2"/>
  <c r="DB16" i="2"/>
  <c r="DA16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M16" i="2"/>
  <c r="A16" i="2"/>
  <c r="DJ15" i="2"/>
  <c r="DI15" i="2"/>
  <c r="DH15" i="2"/>
  <c r="DG15" i="2"/>
  <c r="DF15" i="2"/>
  <c r="DE15" i="2"/>
  <c r="DD15" i="2"/>
  <c r="DC15" i="2"/>
  <c r="DB15" i="2"/>
  <c r="DA15" i="2"/>
  <c r="CZ15" i="2"/>
  <c r="CY15" i="2"/>
  <c r="CX15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M15" i="2"/>
  <c r="A15" i="2"/>
  <c r="DJ14" i="2"/>
  <c r="DI14" i="2"/>
  <c r="DH14" i="2"/>
  <c r="DG14" i="2"/>
  <c r="DF14" i="2"/>
  <c r="DE14" i="2"/>
  <c r="DD14" i="2"/>
  <c r="DC14" i="2"/>
  <c r="DB14" i="2"/>
  <c r="DA14" i="2"/>
  <c r="CZ14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M14" i="2"/>
  <c r="A14" i="2"/>
  <c r="DJ13" i="2"/>
  <c r="DI13" i="2"/>
  <c r="DH13" i="2"/>
  <c r="DG13" i="2"/>
  <c r="DF13" i="2"/>
  <c r="DE13" i="2"/>
  <c r="DD13" i="2"/>
  <c r="DC13" i="2"/>
  <c r="DB13" i="2"/>
  <c r="DA13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M13" i="2"/>
  <c r="A13" i="2"/>
  <c r="DJ12" i="2"/>
  <c r="DI12" i="2"/>
  <c r="DH12" i="2"/>
  <c r="DG12" i="2"/>
  <c r="DF12" i="2"/>
  <c r="DE12" i="2"/>
  <c r="DD12" i="2"/>
  <c r="DC12" i="2"/>
  <c r="DB12" i="2"/>
  <c r="DA12" i="2"/>
  <c r="CZ12" i="2"/>
  <c r="CY12" i="2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M12" i="2"/>
  <c r="A12" i="2"/>
  <c r="DJ11" i="2"/>
  <c r="DI11" i="2"/>
  <c r="DH11" i="2"/>
  <c r="DG11" i="2"/>
  <c r="DF11" i="2"/>
  <c r="DE11" i="2"/>
  <c r="DD11" i="2"/>
  <c r="DC11" i="2"/>
  <c r="DB11" i="2"/>
  <c r="DA11" i="2"/>
  <c r="CZ11" i="2"/>
  <c r="CY11" i="2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M11" i="2"/>
  <c r="A11" i="2"/>
  <c r="DJ10" i="2"/>
  <c r="DI10" i="2"/>
  <c r="DH10" i="2"/>
  <c r="DG10" i="2"/>
  <c r="DF10" i="2"/>
  <c r="DE10" i="2"/>
  <c r="DD10" i="2"/>
  <c r="DC10" i="2"/>
  <c r="DB10" i="2"/>
  <c r="DA10" i="2"/>
  <c r="CZ10" i="2"/>
  <c r="CY10" i="2"/>
  <c r="CX10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M10" i="2"/>
  <c r="A10" i="2"/>
  <c r="DJ9" i="2"/>
  <c r="DI9" i="2"/>
  <c r="DH9" i="2"/>
  <c r="DG9" i="2"/>
  <c r="DF9" i="2"/>
  <c r="DE9" i="2"/>
  <c r="DD9" i="2"/>
  <c r="DC9" i="2"/>
  <c r="DB9" i="2"/>
  <c r="DA9" i="2"/>
  <c r="CZ9" i="2"/>
  <c r="CY9" i="2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M9" i="2"/>
  <c r="A9" i="2"/>
  <c r="DJ8" i="2"/>
  <c r="DI8" i="2"/>
  <c r="DH8" i="2"/>
  <c r="DG8" i="2"/>
  <c r="DF8" i="2"/>
  <c r="DE8" i="2"/>
  <c r="DD8" i="2"/>
  <c r="DC8" i="2"/>
  <c r="DB8" i="2"/>
  <c r="DA8" i="2"/>
  <c r="CZ8" i="2"/>
  <c r="CY8" i="2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M8" i="2"/>
  <c r="A8" i="2"/>
  <c r="DJ7" i="2"/>
  <c r="DI7" i="2"/>
  <c r="DH7" i="2"/>
  <c r="DG7" i="2"/>
  <c r="DF7" i="2"/>
  <c r="DE7" i="2"/>
  <c r="DD7" i="2"/>
  <c r="DC7" i="2"/>
  <c r="DB7" i="2"/>
  <c r="DA7" i="2"/>
  <c r="CZ7" i="2"/>
  <c r="CY7" i="2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M7" i="2"/>
  <c r="A7" i="2"/>
  <c r="DJ6" i="2"/>
  <c r="DI6" i="2"/>
  <c r="DH6" i="2"/>
  <c r="DG6" i="2"/>
  <c r="DF6" i="2"/>
  <c r="DE6" i="2"/>
  <c r="DD6" i="2"/>
  <c r="DC6" i="2"/>
  <c r="DB6" i="2"/>
  <c r="DA6" i="2"/>
  <c r="CZ6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M6" i="2"/>
  <c r="A6" i="2"/>
  <c r="DJ5" i="2"/>
  <c r="DI5" i="2"/>
  <c r="DH5" i="2"/>
  <c r="DG5" i="2"/>
  <c r="DF5" i="2"/>
  <c r="DE5" i="2"/>
  <c r="DD5" i="2"/>
  <c r="DC5" i="2"/>
  <c r="DB5" i="2"/>
  <c r="DA5" i="2"/>
  <c r="CZ5" i="2"/>
  <c r="CY5" i="2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M5" i="2"/>
  <c r="A5" i="2"/>
  <c r="DJ4" i="2"/>
  <c r="DI4" i="2"/>
  <c r="DH4" i="2"/>
  <c r="DG4" i="2"/>
  <c r="DF4" i="2"/>
  <c r="DE4" i="2"/>
  <c r="DD4" i="2"/>
  <c r="DC4" i="2"/>
  <c r="DB4" i="2"/>
  <c r="DA4" i="2"/>
  <c r="CZ4" i="2"/>
  <c r="CY4" i="2"/>
  <c r="CX4" i="2"/>
  <c r="CW4" i="2"/>
  <c r="CV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M4" i="2"/>
  <c r="L4" i="2"/>
  <c r="B4" i="2"/>
  <c r="J4" i="2" s="1"/>
  <c r="I4" i="1" s="1"/>
  <c r="A4" i="2"/>
  <c r="DJ3" i="2"/>
  <c r="DI3" i="2"/>
  <c r="DH3" i="2"/>
  <c r="DG3" i="2"/>
  <c r="DF3" i="2"/>
  <c r="DE3" i="2"/>
  <c r="DD3" i="2"/>
  <c r="DC3" i="2"/>
  <c r="DB3" i="2"/>
  <c r="DA3" i="2"/>
  <c r="CZ3" i="2"/>
  <c r="CY3" i="2"/>
  <c r="CX3" i="2"/>
  <c r="CW3" i="2"/>
  <c r="CV3" i="2"/>
  <c r="CU3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M3" i="2"/>
  <c r="L3" i="2"/>
  <c r="J3" i="2"/>
  <c r="I3" i="2"/>
  <c r="H3" i="2"/>
  <c r="B3" i="2"/>
  <c r="A3" i="2"/>
  <c r="DJ2" i="2"/>
  <c r="DI2" i="2"/>
  <c r="DH2" i="2"/>
  <c r="DG2" i="2"/>
  <c r="DF2" i="2"/>
  <c r="DE2" i="2"/>
  <c r="DD2" i="2"/>
  <c r="DC2" i="2"/>
  <c r="DB2" i="2"/>
  <c r="DA2" i="2"/>
  <c r="CZ2" i="2"/>
  <c r="CY2" i="2"/>
  <c r="CX2" i="2"/>
  <c r="CW2" i="2"/>
  <c r="CV2" i="2"/>
  <c r="CU2" i="2"/>
  <c r="CT2" i="2"/>
  <c r="CS2" i="2"/>
  <c r="CR2" i="2"/>
  <c r="CQ2" i="2"/>
  <c r="CP2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L2" i="2"/>
  <c r="G2" i="2"/>
  <c r="F2" i="2"/>
  <c r="DJ1" i="2"/>
  <c r="DI1" i="2"/>
  <c r="DH1" i="2"/>
  <c r="DG1" i="2"/>
  <c r="DF1" i="2"/>
  <c r="DE1" i="2"/>
  <c r="DD1" i="2"/>
  <c r="DC1" i="2"/>
  <c r="DB1" i="2"/>
  <c r="DA1" i="2"/>
  <c r="CZ1" i="2"/>
  <c r="CY1" i="2"/>
  <c r="CX1" i="2"/>
  <c r="CW1" i="2"/>
  <c r="CV1" i="2"/>
  <c r="CU1" i="2"/>
  <c r="CT1" i="2"/>
  <c r="CS1" i="2"/>
  <c r="CR1" i="2"/>
  <c r="CQ1" i="2"/>
  <c r="CP1" i="2"/>
  <c r="CO1" i="2"/>
  <c r="CN1" i="2"/>
  <c r="CM1" i="2"/>
  <c r="CL1" i="2"/>
  <c r="CK1" i="2"/>
  <c r="CJ1" i="2"/>
  <c r="CI1" i="2"/>
  <c r="CH1" i="2"/>
  <c r="CG1" i="2"/>
  <c r="CF1" i="2"/>
  <c r="CE1" i="2"/>
  <c r="CD1" i="2"/>
  <c r="CC1" i="2"/>
  <c r="CB1" i="2"/>
  <c r="CA1" i="2"/>
  <c r="BZ1" i="2"/>
  <c r="BY1" i="2"/>
  <c r="BX1" i="2"/>
  <c r="BW1" i="2"/>
  <c r="BV1" i="2"/>
  <c r="BU1" i="2"/>
  <c r="BT1" i="2"/>
  <c r="BS1" i="2"/>
  <c r="BR1" i="2"/>
  <c r="BQ1" i="2"/>
  <c r="BP1" i="2"/>
  <c r="BO1" i="2"/>
  <c r="BN1" i="2"/>
  <c r="BM1" i="2"/>
  <c r="BL1" i="2"/>
  <c r="BK1" i="2"/>
  <c r="BJ1" i="2"/>
  <c r="BI1" i="2"/>
  <c r="BH1" i="2"/>
  <c r="BG1" i="2"/>
  <c r="BF1" i="2"/>
  <c r="BE1" i="2"/>
  <c r="BD1" i="2"/>
  <c r="BC1" i="2"/>
  <c r="BB1" i="2"/>
  <c r="BA1" i="2"/>
  <c r="AZ1" i="2"/>
  <c r="AY1" i="2"/>
  <c r="AX1" i="2"/>
  <c r="AW1" i="2"/>
  <c r="AV1" i="2"/>
  <c r="AU1" i="2"/>
  <c r="AT1" i="2"/>
  <c r="AS1" i="2"/>
  <c r="AR1" i="2"/>
  <c r="AQ1" i="2"/>
  <c r="AP1" i="2"/>
  <c r="AO1" i="2"/>
  <c r="AN1" i="2"/>
  <c r="AM1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L1" i="2"/>
  <c r="L102" i="1"/>
  <c r="K102" i="1"/>
  <c r="C102" i="1"/>
  <c r="L101" i="1"/>
  <c r="K101" i="1"/>
  <c r="C101" i="1"/>
  <c r="L100" i="1"/>
  <c r="K100" i="1"/>
  <c r="C100" i="1"/>
  <c r="L99" i="1"/>
  <c r="K99" i="1"/>
  <c r="C99" i="1"/>
  <c r="L98" i="1"/>
  <c r="K98" i="1"/>
  <c r="C98" i="1"/>
  <c r="L97" i="1"/>
  <c r="K97" i="1"/>
  <c r="C97" i="1"/>
  <c r="L96" i="1"/>
  <c r="K96" i="1"/>
  <c r="C96" i="1"/>
  <c r="L95" i="1"/>
  <c r="K95" i="1"/>
  <c r="C95" i="1"/>
  <c r="L94" i="1"/>
  <c r="K94" i="1"/>
  <c r="C94" i="1"/>
  <c r="L93" i="1"/>
  <c r="K93" i="1"/>
  <c r="C93" i="1"/>
  <c r="L92" i="1"/>
  <c r="K92" i="1"/>
  <c r="C92" i="1"/>
  <c r="L91" i="1"/>
  <c r="K91" i="1"/>
  <c r="C91" i="1"/>
  <c r="L90" i="1"/>
  <c r="K90" i="1"/>
  <c r="C90" i="1"/>
  <c r="L89" i="1"/>
  <c r="K89" i="1"/>
  <c r="C89" i="1"/>
  <c r="L88" i="1"/>
  <c r="K88" i="1"/>
  <c r="C88" i="1"/>
  <c r="L87" i="1"/>
  <c r="K87" i="1"/>
  <c r="C87" i="1"/>
  <c r="L86" i="1"/>
  <c r="K86" i="1"/>
  <c r="C86" i="1"/>
  <c r="L85" i="1"/>
  <c r="K85" i="1"/>
  <c r="C85" i="1"/>
  <c r="L84" i="1"/>
  <c r="K84" i="1"/>
  <c r="C84" i="1"/>
  <c r="L83" i="1"/>
  <c r="K83" i="1"/>
  <c r="C83" i="1"/>
  <c r="L82" i="1"/>
  <c r="K82" i="1"/>
  <c r="C82" i="1"/>
  <c r="L81" i="1"/>
  <c r="K81" i="1"/>
  <c r="C81" i="1"/>
  <c r="L80" i="1"/>
  <c r="K80" i="1"/>
  <c r="C80" i="1"/>
  <c r="L79" i="1"/>
  <c r="K79" i="1"/>
  <c r="C79" i="1"/>
  <c r="L78" i="1"/>
  <c r="K78" i="1"/>
  <c r="C78" i="1"/>
  <c r="L77" i="1"/>
  <c r="K77" i="1"/>
  <c r="C77" i="1"/>
  <c r="L76" i="1"/>
  <c r="K76" i="1"/>
  <c r="C76" i="1"/>
  <c r="L75" i="1"/>
  <c r="K75" i="1"/>
  <c r="C75" i="1"/>
  <c r="L74" i="1"/>
  <c r="K74" i="1"/>
  <c r="C74" i="1"/>
  <c r="L73" i="1"/>
  <c r="K73" i="1"/>
  <c r="C73" i="1"/>
  <c r="L72" i="1"/>
  <c r="K72" i="1"/>
  <c r="C72" i="1"/>
  <c r="L71" i="1"/>
  <c r="K71" i="1"/>
  <c r="C71" i="1"/>
  <c r="L70" i="1"/>
  <c r="K70" i="1"/>
  <c r="C70" i="1"/>
  <c r="L69" i="1"/>
  <c r="K69" i="1"/>
  <c r="C69" i="1"/>
  <c r="L68" i="1"/>
  <c r="K68" i="1"/>
  <c r="C68" i="1"/>
  <c r="L67" i="1"/>
  <c r="K67" i="1"/>
  <c r="C67" i="1"/>
  <c r="L66" i="1"/>
  <c r="K66" i="1"/>
  <c r="C66" i="1"/>
  <c r="L65" i="1"/>
  <c r="K65" i="1"/>
  <c r="C65" i="1"/>
  <c r="L64" i="1"/>
  <c r="K64" i="1"/>
  <c r="C64" i="1"/>
  <c r="L63" i="1"/>
  <c r="K63" i="1"/>
  <c r="C63" i="1"/>
  <c r="L62" i="1"/>
  <c r="K62" i="1"/>
  <c r="C62" i="1"/>
  <c r="L61" i="1"/>
  <c r="K61" i="1"/>
  <c r="C61" i="1"/>
  <c r="L60" i="1"/>
  <c r="K60" i="1"/>
  <c r="C60" i="1"/>
  <c r="L59" i="1"/>
  <c r="K59" i="1"/>
  <c r="C59" i="1"/>
  <c r="L58" i="1"/>
  <c r="K58" i="1"/>
  <c r="C58" i="1"/>
  <c r="L57" i="1"/>
  <c r="K57" i="1"/>
  <c r="C57" i="1"/>
  <c r="L56" i="1"/>
  <c r="K56" i="1"/>
  <c r="C56" i="1"/>
  <c r="L55" i="1"/>
  <c r="K55" i="1"/>
  <c r="C55" i="1"/>
  <c r="L54" i="1"/>
  <c r="K54" i="1"/>
  <c r="C54" i="1"/>
  <c r="L53" i="1"/>
  <c r="K53" i="1"/>
  <c r="C53" i="1"/>
  <c r="L52" i="1"/>
  <c r="K52" i="1"/>
  <c r="C52" i="1"/>
  <c r="L51" i="1"/>
  <c r="K51" i="1"/>
  <c r="C51" i="1"/>
  <c r="L50" i="1"/>
  <c r="K50" i="1"/>
  <c r="C50" i="1"/>
  <c r="L49" i="1"/>
  <c r="K49" i="1"/>
  <c r="C49" i="1"/>
  <c r="L48" i="1"/>
  <c r="K48" i="1"/>
  <c r="C48" i="1"/>
  <c r="L47" i="1"/>
  <c r="K47" i="1"/>
  <c r="C47" i="1"/>
  <c r="L46" i="1"/>
  <c r="K46" i="1"/>
  <c r="C46" i="1"/>
  <c r="L45" i="1"/>
  <c r="K45" i="1"/>
  <c r="C45" i="1"/>
  <c r="L44" i="1"/>
  <c r="K44" i="1"/>
  <c r="C44" i="1"/>
  <c r="L43" i="1"/>
  <c r="K43" i="1"/>
  <c r="C43" i="1"/>
  <c r="L42" i="1"/>
  <c r="K42" i="1"/>
  <c r="C42" i="1"/>
  <c r="L41" i="1"/>
  <c r="K41" i="1"/>
  <c r="C41" i="1"/>
  <c r="L40" i="1"/>
  <c r="K40" i="1"/>
  <c r="C40" i="1"/>
  <c r="L39" i="1"/>
  <c r="K39" i="1"/>
  <c r="C39" i="1"/>
  <c r="L38" i="1"/>
  <c r="K38" i="1"/>
  <c r="C38" i="1"/>
  <c r="L37" i="1"/>
  <c r="K37" i="1"/>
  <c r="C37" i="1"/>
  <c r="L36" i="1"/>
  <c r="K36" i="1"/>
  <c r="C36" i="1"/>
  <c r="L35" i="1"/>
  <c r="K35" i="1"/>
  <c r="C35" i="1"/>
  <c r="L34" i="1"/>
  <c r="K34" i="1"/>
  <c r="C34" i="1"/>
  <c r="L33" i="1"/>
  <c r="K33" i="1"/>
  <c r="C33" i="1"/>
  <c r="L32" i="1"/>
  <c r="K32" i="1"/>
  <c r="C32" i="1"/>
  <c r="L31" i="1"/>
  <c r="K31" i="1"/>
  <c r="C31" i="1"/>
  <c r="L30" i="1"/>
  <c r="K30" i="1"/>
  <c r="C30" i="1"/>
  <c r="L29" i="1"/>
  <c r="K29" i="1"/>
  <c r="C29" i="1"/>
  <c r="L28" i="1"/>
  <c r="K28" i="1"/>
  <c r="C28" i="1"/>
  <c r="L27" i="1"/>
  <c r="K27" i="1"/>
  <c r="C27" i="1"/>
  <c r="L26" i="1"/>
  <c r="K26" i="1"/>
  <c r="C26" i="1"/>
  <c r="L25" i="1"/>
  <c r="K25" i="1"/>
  <c r="C25" i="1"/>
  <c r="L24" i="1"/>
  <c r="K24" i="1"/>
  <c r="C24" i="1"/>
  <c r="L23" i="1"/>
  <c r="K23" i="1"/>
  <c r="C23" i="1"/>
  <c r="L22" i="1"/>
  <c r="K22" i="1"/>
  <c r="C22" i="1"/>
  <c r="L21" i="1"/>
  <c r="K21" i="1"/>
  <c r="C21" i="1"/>
  <c r="L20" i="1"/>
  <c r="K20" i="1"/>
  <c r="C20" i="1"/>
  <c r="L19" i="1"/>
  <c r="K19" i="1"/>
  <c r="C19" i="1"/>
  <c r="L18" i="1"/>
  <c r="K18" i="1"/>
  <c r="C18" i="1"/>
  <c r="L17" i="1"/>
  <c r="K17" i="1"/>
  <c r="C17" i="1"/>
  <c r="L16" i="1"/>
  <c r="K16" i="1"/>
  <c r="C16" i="1"/>
  <c r="L15" i="1"/>
  <c r="K15" i="1"/>
  <c r="C15" i="1"/>
  <c r="P14" i="1"/>
  <c r="L14" i="1"/>
  <c r="K14" i="1"/>
  <c r="C14" i="1"/>
  <c r="L13" i="1"/>
  <c r="K13" i="1"/>
  <c r="C13" i="1"/>
  <c r="L12" i="1"/>
  <c r="K12" i="1"/>
  <c r="C12" i="1"/>
  <c r="L11" i="1"/>
  <c r="K11" i="1"/>
  <c r="C11" i="1"/>
  <c r="L10" i="1"/>
  <c r="K10" i="1"/>
  <c r="C10" i="1"/>
  <c r="L9" i="1"/>
  <c r="K9" i="1"/>
  <c r="C9" i="1"/>
  <c r="L8" i="1"/>
  <c r="K8" i="1"/>
  <c r="C8" i="1"/>
  <c r="L7" i="1"/>
  <c r="K7" i="1"/>
  <c r="C7" i="1"/>
  <c r="L6" i="1"/>
  <c r="K6" i="1"/>
  <c r="C6" i="1"/>
  <c r="L5" i="1"/>
  <c r="K5" i="1"/>
  <c r="C5" i="1"/>
  <c r="L4" i="1"/>
  <c r="K4" i="1"/>
  <c r="C4" i="1"/>
  <c r="L3" i="1"/>
  <c r="K3" i="1"/>
  <c r="I3" i="1"/>
  <c r="L2" i="1"/>
  <c r="K2" i="1"/>
  <c r="J2" i="1"/>
  <c r="I2" i="1"/>
  <c r="H4" i="2" l="1"/>
  <c r="I4" i="2"/>
  <c r="E105" i="2"/>
  <c r="B105" i="2"/>
  <c r="N101" i="2"/>
  <c r="N7" i="2"/>
  <c r="N6" i="2" s="1"/>
  <c r="N5" i="2" s="1"/>
  <c r="N4" i="2" s="1"/>
  <c r="N3" i="2" s="1"/>
  <c r="O7" i="2"/>
  <c r="O6" i="2" s="1"/>
  <c r="O5" i="2" s="1"/>
  <c r="O4" i="2" s="1"/>
  <c r="O3" i="2" s="1"/>
  <c r="E109" i="2" s="1" a="1"/>
  <c r="E109" i="2" s="1"/>
  <c r="O101" i="2"/>
  <c r="O100" i="2" s="1"/>
  <c r="O99" i="2" s="1"/>
  <c r="O98" i="2" s="1"/>
  <c r="O97" i="2" s="1"/>
  <c r="O96" i="2" s="1"/>
  <c r="O95" i="2" s="1"/>
  <c r="O94" i="2" s="1"/>
  <c r="O93" i="2" s="1"/>
  <c r="O92" i="2" s="1"/>
  <c r="O91" i="2" s="1"/>
  <c r="O90" i="2" s="1"/>
  <c r="O89" i="2" s="1"/>
  <c r="O88" i="2" s="1"/>
  <c r="O87" i="2" s="1"/>
  <c r="O86" i="2" s="1"/>
  <c r="O85" i="2" s="1"/>
  <c r="O84" i="2" s="1"/>
  <c r="O83" i="2" s="1"/>
  <c r="O82" i="2" s="1"/>
  <c r="O81" i="2" s="1"/>
  <c r="O80" i="2" s="1"/>
  <c r="O79" i="2" s="1"/>
  <c r="O78" i="2" s="1"/>
  <c r="O77" i="2" s="1"/>
  <c r="O76" i="2" s="1"/>
  <c r="O75" i="2" s="1"/>
  <c r="O74" i="2" s="1"/>
  <c r="O73" i="2" s="1"/>
  <c r="O72" i="2" s="1"/>
  <c r="O71" i="2" s="1"/>
  <c r="O70" i="2" s="1"/>
  <c r="O69" i="2" s="1"/>
  <c r="O68" i="2" s="1"/>
  <c r="O67" i="2" s="1"/>
  <c r="O66" i="2" s="1"/>
  <c r="O65" i="2" s="1"/>
  <c r="O64" i="2" s="1"/>
  <c r="O63" i="2" s="1"/>
  <c r="O62" i="2" s="1"/>
  <c r="O61" i="2" s="1"/>
  <c r="O60" i="2" s="1"/>
  <c r="O59" i="2" s="1"/>
  <c r="O58" i="2" s="1"/>
  <c r="O57" i="2" s="1"/>
  <c r="O56" i="2" s="1"/>
  <c r="O55" i="2" s="1"/>
  <c r="O54" i="2" s="1"/>
  <c r="O53" i="2" s="1"/>
  <c r="O52" i="2" s="1"/>
  <c r="O51" i="2" s="1"/>
  <c r="O50" i="2" s="1"/>
  <c r="O49" i="2" s="1"/>
  <c r="O48" i="2" s="1"/>
  <c r="O47" i="2" s="1"/>
  <c r="O46" i="2" s="1"/>
  <c r="O45" i="2" s="1"/>
  <c r="O44" i="2" s="1"/>
  <c r="O43" i="2" s="1"/>
  <c r="O42" i="2" s="1"/>
  <c r="O41" i="2" s="1"/>
  <c r="O40" i="2" s="1"/>
  <c r="O39" i="2" s="1"/>
  <c r="O38" i="2" s="1"/>
  <c r="O37" i="2" s="1"/>
  <c r="O36" i="2" s="1"/>
  <c r="O35" i="2" s="1"/>
  <c r="O34" i="2" s="1"/>
  <c r="O33" i="2" s="1"/>
  <c r="O32" i="2" s="1"/>
  <c r="O31" i="2" s="1"/>
  <c r="O30" i="2" s="1"/>
  <c r="O29" i="2" s="1"/>
  <c r="O28" i="2" s="1"/>
  <c r="O27" i="2" s="1"/>
  <c r="O26" i="2" s="1"/>
  <c r="O25" i="2" s="1"/>
  <c r="O24" i="2" s="1"/>
  <c r="O23" i="2" s="1"/>
  <c r="O22" i="2" s="1"/>
  <c r="O21" i="2" s="1"/>
  <c r="O20" i="2" s="1"/>
  <c r="O19" i="2" s="1"/>
  <c r="O18" i="2" s="1"/>
  <c r="O17" i="2" s="1"/>
  <c r="O16" i="2" s="1"/>
  <c r="O15" i="2" s="1"/>
  <c r="O14" i="2" s="1"/>
  <c r="O13" i="2" s="1"/>
  <c r="O12" i="2" s="1"/>
  <c r="O11" i="2" s="1"/>
  <c r="O10" i="2" s="1"/>
  <c r="O9" i="2" s="1"/>
  <c r="N100" i="2"/>
  <c r="N99" i="2" l="1"/>
  <c r="N98" i="2" s="1"/>
  <c r="N97" i="2" s="1"/>
  <c r="N96" i="2" s="1"/>
  <c r="N95" i="2" s="1"/>
  <c r="N94" i="2" s="1"/>
  <c r="N93" i="2" s="1"/>
  <c r="N92" i="2" s="1"/>
  <c r="N91" i="2" s="1"/>
  <c r="N90" i="2" s="1"/>
  <c r="N89" i="2" s="1"/>
  <c r="N88" i="2" s="1"/>
  <c r="N87" i="2" s="1"/>
  <c r="N86" i="2" s="1"/>
  <c r="N85" i="2" s="1"/>
  <c r="N84" i="2" s="1"/>
  <c r="N83" i="2" s="1"/>
  <c r="N82" i="2" s="1"/>
  <c r="N81" i="2" s="1"/>
  <c r="N80" i="2" s="1"/>
  <c r="N79" i="2" s="1"/>
  <c r="N78" i="2" s="1"/>
  <c r="N77" i="2" s="1"/>
  <c r="N76" i="2" s="1"/>
  <c r="N75" i="2" s="1"/>
  <c r="N74" i="2" s="1"/>
  <c r="N73" i="2" s="1"/>
  <c r="N72" i="2" s="1"/>
  <c r="N71" i="2" s="1"/>
  <c r="N70" i="2" s="1"/>
  <c r="N69" i="2" s="1"/>
  <c r="N68" i="2" s="1"/>
  <c r="N67" i="2" s="1"/>
  <c r="N66" i="2" s="1"/>
  <c r="N65" i="2" s="1"/>
  <c r="N64" i="2" s="1"/>
  <c r="N63" i="2" s="1"/>
  <c r="N62" i="2" s="1"/>
  <c r="N61" i="2" s="1"/>
  <c r="N60" i="2" s="1"/>
  <c r="N59" i="2" s="1"/>
  <c r="N58" i="2" s="1"/>
  <c r="N57" i="2" s="1"/>
  <c r="N56" i="2" s="1"/>
  <c r="N55" i="2" s="1"/>
  <c r="N54" i="2" s="1"/>
  <c r="N53" i="2" s="1"/>
  <c r="N52" i="2" s="1"/>
  <c r="N51" i="2" s="1"/>
  <c r="N50" i="2" s="1"/>
  <c r="N49" i="2" s="1"/>
  <c r="N48" i="2" s="1"/>
  <c r="N47" i="2" s="1"/>
  <c r="N46" i="2" s="1"/>
  <c r="N45" i="2" s="1"/>
  <c r="N44" i="2" s="1"/>
  <c r="N43" i="2" s="1"/>
  <c r="N42" i="2" s="1"/>
  <c r="N41" i="2" s="1"/>
  <c r="N40" i="2" s="1"/>
  <c r="N39" i="2" s="1"/>
  <c r="N38" i="2" s="1"/>
  <c r="N37" i="2" s="1"/>
  <c r="N36" i="2" s="1"/>
  <c r="N35" i="2" s="1"/>
  <c r="N34" i="2" s="1"/>
  <c r="N33" i="2" s="1"/>
  <c r="N32" i="2" s="1"/>
  <c r="N31" i="2" s="1"/>
  <c r="N30" i="2" s="1"/>
  <c r="N29" i="2" s="1"/>
  <c r="N28" i="2" s="1"/>
  <c r="N27" i="2" s="1"/>
  <c r="N26" i="2" s="1"/>
  <c r="N25" i="2" s="1"/>
  <c r="N24" i="2" s="1"/>
  <c r="N23" i="2" s="1"/>
  <c r="N22" i="2" s="1"/>
  <c r="N21" i="2" s="1"/>
  <c r="N20" i="2" s="1"/>
  <c r="N19" i="2" s="1"/>
  <c r="N18" i="2" s="1"/>
  <c r="N17" i="2" s="1"/>
  <c r="N16" i="2" s="1"/>
  <c r="N15" i="2" s="1"/>
  <c r="N14" i="2" s="1"/>
  <c r="N13" i="2" s="1"/>
  <c r="N12" i="2" s="1"/>
  <c r="N11" i="2" s="1"/>
  <c r="N10" i="2" s="1"/>
  <c r="N9" i="2" s="1"/>
  <c r="N8" i="2" s="1"/>
  <c r="D105" i="2" a="1"/>
  <c r="D105" i="2" s="1"/>
  <c r="N2" i="2"/>
  <c r="O20" i="1" s="1"/>
  <c r="G111" i="2"/>
  <c r="B5" i="2"/>
  <c r="G110" i="2"/>
  <c r="G109" i="2" a="1"/>
  <c r="G109" i="2" s="1"/>
  <c r="E112" i="2" a="1"/>
  <c r="E112" i="2" s="1"/>
  <c r="C105" i="2" a="1"/>
  <c r="C105" i="2" s="1"/>
  <c r="E110" i="2" s="1"/>
  <c r="F105" i="2" a="1"/>
  <c r="F105" i="2" s="1"/>
  <c r="C3" i="2"/>
  <c r="O2" i="2"/>
  <c r="E5" i="2" l="1"/>
  <c r="J5" i="2"/>
  <c r="I5" i="1" s="1"/>
  <c r="H5" i="2"/>
  <c r="G112" i="2" s="1" a="1"/>
  <c r="G112" i="2" s="1"/>
  <c r="I5" i="2"/>
  <c r="D5" i="2"/>
  <c r="F5" i="1" s="1"/>
  <c r="F5" i="2"/>
  <c r="E3" i="1"/>
  <c r="D3" i="2"/>
  <c r="G5" i="1" l="1"/>
  <c r="J5" i="1" s="1"/>
  <c r="H5" i="1" s="1"/>
  <c r="F3" i="1"/>
  <c r="F3" i="2"/>
  <c r="E3" i="2"/>
  <c r="F6" i="2"/>
  <c r="D6" i="2"/>
  <c r="F6" i="1" s="1"/>
  <c r="C6" i="2"/>
  <c r="E6" i="1" s="1"/>
  <c r="B6" i="2"/>
  <c r="I6" i="2" s="1"/>
  <c r="C7" i="2" l="1"/>
  <c r="E7" i="1" s="1"/>
  <c r="F7" i="2"/>
  <c r="D7" i="2"/>
  <c r="F7" i="1" s="1"/>
  <c r="E6" i="2"/>
  <c r="J6" i="2"/>
  <c r="I6" i="1" s="1"/>
  <c r="G6" i="1"/>
  <c r="J6" i="1" s="1"/>
  <c r="H6" i="1" s="1"/>
  <c r="G3" i="2"/>
  <c r="G3" i="1"/>
  <c r="J3" i="1" s="1"/>
  <c r="C4" i="2"/>
  <c r="H6" i="2"/>
  <c r="B7" i="2" s="1"/>
  <c r="E7" i="2" l="1"/>
  <c r="J7" i="2"/>
  <c r="I7" i="1" s="1"/>
  <c r="I7" i="2"/>
  <c r="H7" i="2"/>
  <c r="E4" i="1"/>
  <c r="D4" i="2"/>
  <c r="F4" i="2"/>
  <c r="G7" i="1"/>
  <c r="J7" i="1" s="1"/>
  <c r="H7" i="1" s="1"/>
  <c r="H3" i="1"/>
  <c r="G4" i="1" l="1"/>
  <c r="J4" i="1" s="1"/>
  <c r="G4" i="2"/>
  <c r="G5" i="2" s="1"/>
  <c r="G6" i="2" s="1"/>
  <c r="G7" i="2" s="1"/>
  <c r="F8" i="2"/>
  <c r="D8" i="2"/>
  <c r="F8" i="1" s="1"/>
  <c r="C8" i="2"/>
  <c r="E8" i="1" s="1"/>
  <c r="B8" i="2"/>
  <c r="H8" i="2" s="1"/>
  <c r="F4" i="1"/>
  <c r="E4" i="2"/>
  <c r="C5" i="2"/>
  <c r="E5" i="1" s="1"/>
  <c r="E8" i="2" l="1"/>
  <c r="J8" i="2"/>
  <c r="I8" i="1" s="1"/>
  <c r="H4" i="1"/>
  <c r="G8" i="1"/>
  <c r="J8" i="1" s="1"/>
  <c r="H8" i="1" s="1"/>
  <c r="G8" i="2"/>
  <c r="I8" i="2"/>
  <c r="F9" i="2" l="1"/>
  <c r="D9" i="2"/>
  <c r="F9" i="1" s="1"/>
  <c r="C9" i="2"/>
  <c r="E9" i="1" s="1"/>
  <c r="B9" i="2"/>
  <c r="I9" i="2"/>
  <c r="C10" i="2" l="1"/>
  <c r="E10" i="1" s="1"/>
  <c r="D10" i="2"/>
  <c r="F10" i="1" s="1"/>
  <c r="F10" i="2"/>
  <c r="E9" i="2"/>
  <c r="J9" i="2"/>
  <c r="I9" i="1" s="1"/>
  <c r="H9" i="2"/>
  <c r="B10" i="2" s="1"/>
  <c r="G9" i="2"/>
  <c r="G9" i="1"/>
  <c r="J9" i="1" s="1"/>
  <c r="E10" i="2" l="1"/>
  <c r="J10" i="2"/>
  <c r="I10" i="1" s="1"/>
  <c r="H10" i="2"/>
  <c r="I10" i="2"/>
  <c r="G10" i="2"/>
  <c r="G10" i="1"/>
  <c r="J10" i="1" s="1"/>
  <c r="H10" i="1" s="1"/>
  <c r="H9" i="1"/>
  <c r="D11" i="2" l="1"/>
  <c r="F11" i="1" s="1"/>
  <c r="F11" i="2"/>
  <c r="C11" i="2"/>
  <c r="E11" i="1" s="1"/>
  <c r="B11" i="2"/>
  <c r="E11" i="2" l="1"/>
  <c r="J11" i="2"/>
  <c r="I11" i="1" s="1"/>
  <c r="H11" i="2"/>
  <c r="G11" i="2"/>
  <c r="G11" i="1"/>
  <c r="J11" i="1" s="1"/>
  <c r="H11" i="1" s="1"/>
  <c r="I11" i="2"/>
  <c r="C12" i="2" l="1"/>
  <c r="E12" i="1" s="1"/>
  <c r="H12" i="2"/>
  <c r="F12" i="2"/>
  <c r="B12" i="2"/>
  <c r="I12" i="2"/>
  <c r="D12" i="2"/>
  <c r="F12" i="1" s="1"/>
  <c r="C13" i="2" l="1"/>
  <c r="E13" i="1" s="1"/>
  <c r="D13" i="2"/>
  <c r="F13" i="1" s="1"/>
  <c r="F13" i="2"/>
  <c r="B13" i="2"/>
  <c r="J12" i="2"/>
  <c r="I12" i="1" s="1"/>
  <c r="E12" i="2"/>
  <c r="G12" i="2"/>
  <c r="G12" i="1"/>
  <c r="J12" i="1" s="1"/>
  <c r="H12" i="1" s="1"/>
  <c r="E13" i="2" l="1"/>
  <c r="J13" i="2"/>
  <c r="I13" i="1" s="1"/>
  <c r="G13" i="2"/>
  <c r="G13" i="1"/>
  <c r="J13" i="1" s="1"/>
  <c r="H13" i="1" s="1"/>
  <c r="H13" i="2"/>
  <c r="I13" i="2"/>
  <c r="I14" i="2" l="1"/>
  <c r="B14" i="2"/>
  <c r="H14" i="2"/>
  <c r="F14" i="2"/>
  <c r="D14" i="2"/>
  <c r="F14" i="1" s="1"/>
  <c r="C14" i="2"/>
  <c r="E14" i="1" s="1"/>
  <c r="I15" i="2" l="1"/>
  <c r="F15" i="2"/>
  <c r="D15" i="2"/>
  <c r="F15" i="1" s="1"/>
  <c r="C15" i="2"/>
  <c r="E15" i="1" s="1"/>
  <c r="B15" i="2"/>
  <c r="G14" i="2"/>
  <c r="G14" i="1"/>
  <c r="J14" i="1" s="1"/>
  <c r="H14" i="1" s="1"/>
  <c r="J14" i="2"/>
  <c r="I14" i="1" s="1"/>
  <c r="E14" i="2"/>
  <c r="E15" i="2" l="1"/>
  <c r="J15" i="2"/>
  <c r="I15" i="1" s="1"/>
  <c r="C16" i="2"/>
  <c r="E16" i="1" s="1"/>
  <c r="F16" i="2"/>
  <c r="D16" i="2"/>
  <c r="F16" i="1" s="1"/>
  <c r="G15" i="2"/>
  <c r="G15" i="1"/>
  <c r="J15" i="1" s="1"/>
  <c r="H15" i="1" s="1"/>
  <c r="H15" i="2"/>
  <c r="B16" i="2" s="1"/>
  <c r="J16" i="2" l="1"/>
  <c r="I16" i="1" s="1"/>
  <c r="E16" i="2"/>
  <c r="H16" i="2"/>
  <c r="I16" i="2"/>
  <c r="G16" i="2"/>
  <c r="G16" i="1"/>
  <c r="J16" i="1" s="1"/>
  <c r="H16" i="1" s="1"/>
  <c r="F17" i="2" l="1"/>
  <c r="D17" i="2"/>
  <c r="F17" i="1" s="1"/>
  <c r="C17" i="2"/>
  <c r="E17" i="1" s="1"/>
  <c r="B17" i="2"/>
  <c r="H17" i="2"/>
  <c r="J17" i="2" l="1"/>
  <c r="I17" i="1" s="1"/>
  <c r="E17" i="2"/>
  <c r="G17" i="2"/>
  <c r="G17" i="1"/>
  <c r="J17" i="1" s="1"/>
  <c r="H17" i="1" s="1"/>
  <c r="I17" i="2"/>
  <c r="D18" i="2" l="1"/>
  <c r="F18" i="1" s="1"/>
  <c r="C18" i="2"/>
  <c r="E18" i="1" s="1"/>
  <c r="F18" i="2"/>
  <c r="B18" i="2"/>
  <c r="E18" i="2" l="1"/>
  <c r="J18" i="2"/>
  <c r="I18" i="1" s="1"/>
  <c r="G18" i="2"/>
  <c r="G18" i="1"/>
  <c r="J18" i="1" s="1"/>
  <c r="H18" i="1" s="1"/>
  <c r="I18" i="2"/>
  <c r="H18" i="2"/>
  <c r="C19" i="2" l="1"/>
  <c r="E19" i="1" s="1"/>
  <c r="B19" i="2"/>
  <c r="F19" i="2"/>
  <c r="D19" i="2"/>
  <c r="F19" i="1" s="1"/>
  <c r="E19" i="2" l="1"/>
  <c r="J19" i="2"/>
  <c r="I19" i="1" s="1"/>
  <c r="I19" i="2"/>
  <c r="H19" i="2"/>
  <c r="G19" i="1"/>
  <c r="J19" i="1" s="1"/>
  <c r="H19" i="1" s="1"/>
  <c r="G19" i="2"/>
  <c r="H20" i="2" l="1"/>
  <c r="B20" i="2"/>
  <c r="I20" i="2"/>
  <c r="F20" i="2"/>
  <c r="D20" i="2"/>
  <c r="F20" i="1" s="1"/>
  <c r="C20" i="2"/>
  <c r="E20" i="1" s="1"/>
  <c r="G20" i="2" l="1"/>
  <c r="G20" i="1"/>
  <c r="J20" i="1" s="1"/>
  <c r="H20" i="1" s="1"/>
  <c r="D21" i="2"/>
  <c r="F21" i="1" s="1"/>
  <c r="F21" i="2"/>
  <c r="C21" i="2"/>
  <c r="E21" i="1" s="1"/>
  <c r="B21" i="2"/>
  <c r="J20" i="2"/>
  <c r="I20" i="1" s="1"/>
  <c r="E20" i="2"/>
  <c r="J21" i="2" l="1"/>
  <c r="I21" i="1" s="1"/>
  <c r="E21" i="2"/>
  <c r="G21" i="2"/>
  <c r="G21" i="1"/>
  <c r="J21" i="1" s="1"/>
  <c r="H21" i="1" s="1"/>
  <c r="I21" i="2"/>
  <c r="H21" i="2"/>
  <c r="C22" i="2" l="1"/>
  <c r="E22" i="1" s="1"/>
  <c r="F22" i="2"/>
  <c r="D22" i="2"/>
  <c r="F22" i="1" s="1"/>
  <c r="B22" i="2"/>
  <c r="E22" i="2" l="1"/>
  <c r="J22" i="2"/>
  <c r="I22" i="1" s="1"/>
  <c r="G22" i="2"/>
  <c r="G22" i="1"/>
  <c r="J22" i="1" s="1"/>
  <c r="H22" i="1" s="1"/>
  <c r="H22" i="2"/>
  <c r="I22" i="2"/>
  <c r="C23" i="2" l="1"/>
  <c r="E23" i="1" s="1"/>
  <c r="F23" i="2"/>
  <c r="D23" i="2"/>
  <c r="F23" i="1" s="1"/>
  <c r="B23" i="2"/>
  <c r="J23" i="2" l="1"/>
  <c r="I23" i="1" s="1"/>
  <c r="E23" i="2"/>
  <c r="G23" i="2"/>
  <c r="G23" i="1"/>
  <c r="J23" i="1" s="1"/>
  <c r="H23" i="1" s="1"/>
  <c r="H23" i="2"/>
  <c r="I23" i="2"/>
  <c r="F24" i="2" l="1"/>
  <c r="D24" i="2"/>
  <c r="F24" i="1" s="1"/>
  <c r="C24" i="2"/>
  <c r="E24" i="1" s="1"/>
  <c r="B24" i="2"/>
  <c r="J24" i="2" l="1"/>
  <c r="I24" i="1" s="1"/>
  <c r="E24" i="2"/>
  <c r="H24" i="2"/>
  <c r="I24" i="2"/>
  <c r="G24" i="2"/>
  <c r="G24" i="1"/>
  <c r="J24" i="1" s="1"/>
  <c r="H24" i="1" s="1"/>
  <c r="C25" i="2" l="1"/>
  <c r="E25" i="1" s="1"/>
  <c r="D25" i="2"/>
  <c r="F25" i="1" s="1"/>
  <c r="F25" i="2"/>
  <c r="B25" i="2"/>
  <c r="J25" i="2" l="1"/>
  <c r="I25" i="1" s="1"/>
  <c r="E25" i="2"/>
  <c r="G25" i="2"/>
  <c r="G25" i="1"/>
  <c r="J25" i="1" s="1"/>
  <c r="H25" i="1" s="1"/>
  <c r="H25" i="2"/>
  <c r="I25" i="2"/>
  <c r="C26" i="2" l="1"/>
  <c r="E26" i="1" s="1"/>
  <c r="F26" i="2"/>
  <c r="D26" i="2"/>
  <c r="F26" i="1" s="1"/>
  <c r="B26" i="2"/>
  <c r="E26" i="2" l="1"/>
  <c r="J26" i="2"/>
  <c r="I26" i="1" s="1"/>
  <c r="G26" i="2"/>
  <c r="G26" i="1"/>
  <c r="J26" i="1" s="1"/>
  <c r="H26" i="1" s="1"/>
  <c r="H26" i="2"/>
  <c r="I26" i="2"/>
  <c r="F27" i="2" l="1"/>
  <c r="D27" i="2"/>
  <c r="F27" i="1" s="1"/>
  <c r="C27" i="2"/>
  <c r="E27" i="1" s="1"/>
  <c r="B27" i="2"/>
  <c r="H27" i="2"/>
  <c r="J27" i="2" l="1"/>
  <c r="I27" i="1" s="1"/>
  <c r="E27" i="2"/>
  <c r="G27" i="2"/>
  <c r="G27" i="1"/>
  <c r="J27" i="1" s="1"/>
  <c r="H27" i="1" s="1"/>
  <c r="I27" i="2"/>
  <c r="C28" i="2" l="1"/>
  <c r="E28" i="1" s="1"/>
  <c r="F28" i="2"/>
  <c r="D28" i="2"/>
  <c r="F28" i="1" s="1"/>
  <c r="B28" i="2"/>
  <c r="J28" i="2" l="1"/>
  <c r="I28" i="1" s="1"/>
  <c r="E28" i="2"/>
  <c r="G28" i="2"/>
  <c r="G28" i="1"/>
  <c r="J28" i="1" s="1"/>
  <c r="H28" i="1" s="1"/>
  <c r="H28" i="2"/>
  <c r="I28" i="2"/>
  <c r="B29" i="2" l="1"/>
  <c r="I29" i="2" s="1"/>
  <c r="F29" i="2"/>
  <c r="D29" i="2"/>
  <c r="F29" i="1" s="1"/>
  <c r="C29" i="2"/>
  <c r="E29" i="1" s="1"/>
  <c r="C30" i="2" l="1"/>
  <c r="E30" i="1" s="1"/>
  <c r="F30" i="2"/>
  <c r="D30" i="2"/>
  <c r="F30" i="1" s="1"/>
  <c r="H29" i="2"/>
  <c r="B30" i="2" s="1"/>
  <c r="G29" i="2"/>
  <c r="G29" i="1"/>
  <c r="J29" i="1" s="1"/>
  <c r="H29" i="1" s="1"/>
  <c r="E29" i="2"/>
  <c r="J29" i="2"/>
  <c r="I29" i="1" s="1"/>
  <c r="J30" i="2" l="1"/>
  <c r="I30" i="1" s="1"/>
  <c r="E30" i="2"/>
  <c r="H30" i="2"/>
  <c r="I30" i="2"/>
  <c r="G30" i="2"/>
  <c r="G30" i="1"/>
  <c r="J30" i="1" s="1"/>
  <c r="H30" i="1" s="1"/>
  <c r="C31" i="2" l="1"/>
  <c r="E31" i="1" s="1"/>
  <c r="D31" i="2"/>
  <c r="F31" i="1" s="1"/>
  <c r="F31" i="2"/>
  <c r="B31" i="2"/>
  <c r="G31" i="2" l="1"/>
  <c r="G31" i="1"/>
  <c r="J31" i="1" s="1"/>
  <c r="H31" i="1" s="1"/>
  <c r="E31" i="2"/>
  <c r="J31" i="2"/>
  <c r="I31" i="1" s="1"/>
  <c r="I31" i="2"/>
  <c r="H31" i="2"/>
  <c r="D32" i="2" l="1"/>
  <c r="F32" i="1" s="1"/>
  <c r="C32" i="2"/>
  <c r="E32" i="1" s="1"/>
  <c r="B32" i="2"/>
  <c r="H32" i="2"/>
  <c r="F32" i="2"/>
  <c r="G32" i="2" l="1"/>
  <c r="G32" i="1"/>
  <c r="J32" i="1" s="1"/>
  <c r="H32" i="1" s="1"/>
  <c r="J32" i="2"/>
  <c r="I32" i="1" s="1"/>
  <c r="E32" i="2"/>
  <c r="I32" i="2"/>
  <c r="C33" i="2" l="1"/>
  <c r="E33" i="1" s="1"/>
  <c r="B33" i="2"/>
  <c r="I33" i="2" s="1"/>
  <c r="F33" i="2"/>
  <c r="D33" i="2"/>
  <c r="F33" i="1" s="1"/>
  <c r="C34" i="2" l="1"/>
  <c r="E34" i="1" s="1"/>
  <c r="D34" i="2"/>
  <c r="F34" i="1" s="1"/>
  <c r="F34" i="2"/>
  <c r="G33" i="2"/>
  <c r="G33" i="1"/>
  <c r="J33" i="1" s="1"/>
  <c r="H33" i="1" s="1"/>
  <c r="H33" i="2"/>
  <c r="B34" i="2" s="1"/>
  <c r="E33" i="2"/>
  <c r="J33" i="2"/>
  <c r="I33" i="1" s="1"/>
  <c r="J34" i="2" l="1"/>
  <c r="I34" i="1" s="1"/>
  <c r="E34" i="2"/>
  <c r="H34" i="2"/>
  <c r="I34" i="2"/>
  <c r="G34" i="2"/>
  <c r="G34" i="1"/>
  <c r="J34" i="1" s="1"/>
  <c r="H34" i="1" s="1"/>
  <c r="F35" i="2" l="1"/>
  <c r="C35" i="2"/>
  <c r="E35" i="1" s="1"/>
  <c r="D35" i="2"/>
  <c r="F35" i="1" s="1"/>
  <c r="B35" i="2"/>
  <c r="J35" i="2" l="1"/>
  <c r="I35" i="1" s="1"/>
  <c r="E35" i="2"/>
  <c r="H35" i="2"/>
  <c r="G35" i="2"/>
  <c r="G35" i="1"/>
  <c r="J35" i="1" s="1"/>
  <c r="H35" i="1" s="1"/>
  <c r="I35" i="2"/>
  <c r="F36" i="2" l="1"/>
  <c r="D36" i="2"/>
  <c r="F36" i="1" s="1"/>
  <c r="C36" i="2"/>
  <c r="E36" i="1" s="1"/>
  <c r="B36" i="2"/>
  <c r="I36" i="2"/>
  <c r="C37" i="2" l="1"/>
  <c r="E37" i="1" s="1"/>
  <c r="D37" i="2"/>
  <c r="F37" i="1" s="1"/>
  <c r="F37" i="2"/>
  <c r="E36" i="2"/>
  <c r="J36" i="2"/>
  <c r="I36" i="1" s="1"/>
  <c r="G36" i="2"/>
  <c r="G36" i="1"/>
  <c r="J36" i="1" s="1"/>
  <c r="H36" i="1" s="1"/>
  <c r="H36" i="2"/>
  <c r="B37" i="2" s="1"/>
  <c r="E37" i="2" l="1"/>
  <c r="J37" i="2"/>
  <c r="I37" i="1" s="1"/>
  <c r="I37" i="2"/>
  <c r="H37" i="2"/>
  <c r="G37" i="2"/>
  <c r="G37" i="1"/>
  <c r="J37" i="1" s="1"/>
  <c r="H37" i="1" s="1"/>
  <c r="F38" i="2" l="1"/>
  <c r="D38" i="2"/>
  <c r="F38" i="1" s="1"/>
  <c r="C38" i="2"/>
  <c r="E38" i="1" s="1"/>
  <c r="B38" i="2"/>
  <c r="J38" i="2" l="1"/>
  <c r="I38" i="1" s="1"/>
  <c r="E38" i="2"/>
  <c r="G38" i="2"/>
  <c r="G38" i="1"/>
  <c r="J38" i="1" s="1"/>
  <c r="H38" i="1" s="1"/>
  <c r="H38" i="2"/>
  <c r="I38" i="2"/>
  <c r="F39" i="2" l="1"/>
  <c r="D39" i="2"/>
  <c r="F39" i="1" s="1"/>
  <c r="B39" i="2"/>
  <c r="C39" i="2"/>
  <c r="E39" i="1" s="1"/>
  <c r="G39" i="2" l="1"/>
  <c r="G39" i="1"/>
  <c r="J39" i="1" s="1"/>
  <c r="H39" i="1" s="1"/>
  <c r="J39" i="2"/>
  <c r="I39" i="1" s="1"/>
  <c r="E39" i="2"/>
  <c r="H39" i="2"/>
  <c r="I39" i="2"/>
  <c r="C40" i="2" l="1"/>
  <c r="E40" i="1" s="1"/>
  <c r="F40" i="2"/>
  <c r="D40" i="2"/>
  <c r="F40" i="1" s="1"/>
  <c r="B40" i="2"/>
  <c r="H40" i="2"/>
  <c r="E40" i="2" l="1"/>
  <c r="J40" i="2"/>
  <c r="I40" i="1" s="1"/>
  <c r="G40" i="2"/>
  <c r="G40" i="1"/>
  <c r="J40" i="1" s="1"/>
  <c r="H40" i="1" s="1"/>
  <c r="I40" i="2"/>
  <c r="C41" i="2" l="1"/>
  <c r="E41" i="1" s="1"/>
  <c r="B41" i="2"/>
  <c r="H41" i="2"/>
  <c r="F41" i="2"/>
  <c r="I41" i="2"/>
  <c r="D41" i="2"/>
  <c r="F41" i="1" s="1"/>
  <c r="F42" i="2" l="1"/>
  <c r="D42" i="2"/>
  <c r="F42" i="1" s="1"/>
  <c r="C42" i="2"/>
  <c r="E42" i="1" s="1"/>
  <c r="B42" i="2"/>
  <c r="G41" i="2"/>
  <c r="G41" i="1"/>
  <c r="J41" i="1" s="1"/>
  <c r="H41" i="1" s="1"/>
  <c r="J41" i="2"/>
  <c r="I41" i="1" s="1"/>
  <c r="E41" i="2"/>
  <c r="J42" i="2" l="1"/>
  <c r="I42" i="1" s="1"/>
  <c r="E42" i="2"/>
  <c r="H42" i="2"/>
  <c r="G42" i="2"/>
  <c r="G42" i="1"/>
  <c r="J42" i="1" s="1"/>
  <c r="H42" i="1" s="1"/>
  <c r="I42" i="2"/>
  <c r="C43" i="2" l="1"/>
  <c r="E43" i="1" s="1"/>
  <c r="F43" i="2"/>
  <c r="D43" i="2"/>
  <c r="F43" i="1" s="1"/>
  <c r="B43" i="2"/>
  <c r="E43" i="2" l="1"/>
  <c r="J43" i="2"/>
  <c r="I43" i="1" s="1"/>
  <c r="G43" i="2"/>
  <c r="G43" i="1"/>
  <c r="J43" i="1" s="1"/>
  <c r="H43" i="1" s="1"/>
  <c r="H43" i="2"/>
  <c r="I43" i="2"/>
  <c r="D44" i="2" l="1"/>
  <c r="F44" i="1" s="1"/>
  <c r="C44" i="2"/>
  <c r="E44" i="1" s="1"/>
  <c r="B44" i="2"/>
  <c r="H44" i="2"/>
  <c r="F44" i="2"/>
  <c r="E44" i="2" l="1"/>
  <c r="J44" i="2"/>
  <c r="I44" i="1" s="1"/>
  <c r="G44" i="2"/>
  <c r="G44" i="1"/>
  <c r="J44" i="1" s="1"/>
  <c r="H44" i="1" s="1"/>
  <c r="I44" i="2"/>
  <c r="F45" i="2" l="1"/>
  <c r="D45" i="2"/>
  <c r="F45" i="1" s="1"/>
  <c r="C45" i="2"/>
  <c r="E45" i="1" s="1"/>
  <c r="B45" i="2"/>
  <c r="H45" i="2" s="1"/>
  <c r="J45" i="2" l="1"/>
  <c r="I45" i="1" s="1"/>
  <c r="E45" i="2"/>
  <c r="G45" i="2"/>
  <c r="G45" i="1"/>
  <c r="J45" i="1" s="1"/>
  <c r="H45" i="1" s="1"/>
  <c r="I45" i="2"/>
  <c r="C46" i="2" l="1"/>
  <c r="E46" i="1" s="1"/>
  <c r="F46" i="2"/>
  <c r="D46" i="2"/>
  <c r="F46" i="1" s="1"/>
  <c r="B46" i="2"/>
  <c r="J46" i="2" l="1"/>
  <c r="I46" i="1" s="1"/>
  <c r="E46" i="2"/>
  <c r="G46" i="2"/>
  <c r="G46" i="1"/>
  <c r="J46" i="1" s="1"/>
  <c r="H46" i="1" s="1"/>
  <c r="H46" i="2"/>
  <c r="I46" i="2"/>
  <c r="F47" i="2" l="1"/>
  <c r="D47" i="2"/>
  <c r="F47" i="1" s="1"/>
  <c r="C47" i="2"/>
  <c r="E47" i="1" s="1"/>
  <c r="B47" i="2"/>
  <c r="E47" i="2" l="1"/>
  <c r="J47" i="2"/>
  <c r="I47" i="1" s="1"/>
  <c r="I47" i="2"/>
  <c r="H47" i="2"/>
  <c r="G47" i="2"/>
  <c r="G47" i="1"/>
  <c r="J47" i="1" s="1"/>
  <c r="H47" i="1" s="1"/>
  <c r="C48" i="2" l="1"/>
  <c r="E48" i="1" s="1"/>
  <c r="B48" i="2"/>
  <c r="I48" i="2"/>
  <c r="H48" i="2"/>
  <c r="F48" i="2"/>
  <c r="D48" i="2"/>
  <c r="F48" i="1" s="1"/>
  <c r="C49" i="2" l="1"/>
  <c r="E49" i="1" s="1"/>
  <c r="F49" i="2"/>
  <c r="D49" i="2"/>
  <c r="F49" i="1" s="1"/>
  <c r="B49" i="2"/>
  <c r="G48" i="2"/>
  <c r="G48" i="1"/>
  <c r="J48" i="1" s="1"/>
  <c r="H48" i="1" s="1"/>
  <c r="E48" i="2"/>
  <c r="J48" i="2"/>
  <c r="I48" i="1" s="1"/>
  <c r="J49" i="2" l="1"/>
  <c r="I49" i="1" s="1"/>
  <c r="E49" i="2"/>
  <c r="H49" i="2"/>
  <c r="I49" i="2"/>
  <c r="G49" i="2"/>
  <c r="G49" i="1"/>
  <c r="J49" i="1" s="1"/>
  <c r="H49" i="1" s="1"/>
  <c r="F50" i="2" l="1"/>
  <c r="D50" i="2"/>
  <c r="F50" i="1" s="1"/>
  <c r="B50" i="2"/>
  <c r="H50" i="2" s="1"/>
  <c r="C50" i="2"/>
  <c r="E50" i="1" s="1"/>
  <c r="G50" i="2" l="1"/>
  <c r="G50" i="1"/>
  <c r="J50" i="1" s="1"/>
  <c r="H50" i="1" s="1"/>
  <c r="E50" i="2"/>
  <c r="J50" i="2"/>
  <c r="I50" i="1" s="1"/>
  <c r="I50" i="2"/>
  <c r="D51" i="2" l="1"/>
  <c r="F51" i="1" s="1"/>
  <c r="C51" i="2"/>
  <c r="E51" i="1" s="1"/>
  <c r="B51" i="2"/>
  <c r="I51" i="2"/>
  <c r="H51" i="2"/>
  <c r="F51" i="2"/>
  <c r="C52" i="2" l="1"/>
  <c r="E52" i="1" s="1"/>
  <c r="B52" i="2"/>
  <c r="F52" i="2"/>
  <c r="I52" i="2"/>
  <c r="D52" i="2"/>
  <c r="F52" i="1" s="1"/>
  <c r="G51" i="2"/>
  <c r="G51" i="1"/>
  <c r="J51" i="1" s="1"/>
  <c r="H51" i="1" s="1"/>
  <c r="E51" i="2"/>
  <c r="J51" i="2"/>
  <c r="I51" i="1" s="1"/>
  <c r="J52" i="2" l="1"/>
  <c r="I52" i="1" s="1"/>
  <c r="E52" i="2"/>
  <c r="F53" i="2"/>
  <c r="D53" i="2"/>
  <c r="F53" i="1" s="1"/>
  <c r="C53" i="2"/>
  <c r="E53" i="1" s="1"/>
  <c r="G52" i="2"/>
  <c r="G52" i="1"/>
  <c r="J52" i="1" s="1"/>
  <c r="H52" i="1" s="1"/>
  <c r="H52" i="2"/>
  <c r="B53" i="2" s="1"/>
  <c r="J53" i="2" l="1"/>
  <c r="I53" i="1" s="1"/>
  <c r="E53" i="2"/>
  <c r="H53" i="2"/>
  <c r="I53" i="2"/>
  <c r="G53" i="2"/>
  <c r="G53" i="1"/>
  <c r="J53" i="1" l="1"/>
  <c r="H53" i="1" s="1"/>
  <c r="F54" i="2"/>
  <c r="D54" i="2"/>
  <c r="F54" i="1" s="1"/>
  <c r="C54" i="2"/>
  <c r="E54" i="1" s="1"/>
  <c r="B54" i="2"/>
  <c r="H54" i="2" s="1"/>
  <c r="I54" i="2"/>
  <c r="C55" i="2" l="1"/>
  <c r="E55" i="1" s="1"/>
  <c r="D55" i="2"/>
  <c r="F55" i="1" s="1"/>
  <c r="B55" i="2"/>
  <c r="I55" i="2"/>
  <c r="H55" i="2"/>
  <c r="F55" i="2"/>
  <c r="E54" i="2"/>
  <c r="J54" i="2"/>
  <c r="I54" i="1" s="1"/>
  <c r="G54" i="2"/>
  <c r="G54" i="1"/>
  <c r="F56" i="2" l="1"/>
  <c r="D56" i="2"/>
  <c r="F56" i="1" s="1"/>
  <c r="C56" i="2"/>
  <c r="E56" i="1" s="1"/>
  <c r="B56" i="2"/>
  <c r="E55" i="2"/>
  <c r="J55" i="2"/>
  <c r="I55" i="1" s="1"/>
  <c r="J54" i="1"/>
  <c r="H54" i="1" s="1"/>
  <c r="G55" i="2"/>
  <c r="G55" i="1"/>
  <c r="J55" i="1" s="1"/>
  <c r="H55" i="1" s="1"/>
  <c r="J56" i="2" l="1"/>
  <c r="I56" i="1" s="1"/>
  <c r="E56" i="2"/>
  <c r="H56" i="2"/>
  <c r="G56" i="2"/>
  <c r="G56" i="1"/>
  <c r="J56" i="1" s="1"/>
  <c r="H56" i="1" s="1"/>
  <c r="I56" i="2"/>
  <c r="F57" i="2" l="1"/>
  <c r="D57" i="2"/>
  <c r="F57" i="1" s="1"/>
  <c r="B57" i="2"/>
  <c r="C57" i="2"/>
  <c r="E57" i="1" s="1"/>
  <c r="J57" i="2" l="1"/>
  <c r="I57" i="1" s="1"/>
  <c r="E57" i="2"/>
  <c r="G57" i="2"/>
  <c r="G57" i="1"/>
  <c r="H57" i="2"/>
  <c r="I57" i="2"/>
  <c r="C58" i="2" l="1"/>
  <c r="E58" i="1" s="1"/>
  <c r="F58" i="2"/>
  <c r="D58" i="2"/>
  <c r="F58" i="1" s="1"/>
  <c r="B58" i="2"/>
  <c r="I58" i="2"/>
  <c r="H58" i="2"/>
  <c r="J57" i="1"/>
  <c r="H57" i="1" s="1"/>
  <c r="C59" i="2" l="1"/>
  <c r="E59" i="1" s="1"/>
  <c r="B59" i="2"/>
  <c r="H59" i="2"/>
  <c r="F59" i="2"/>
  <c r="I59" i="2"/>
  <c r="D59" i="2"/>
  <c r="F59" i="1" s="1"/>
  <c r="E58" i="2"/>
  <c r="J58" i="2"/>
  <c r="I58" i="1" s="1"/>
  <c r="G58" i="2"/>
  <c r="G58" i="1"/>
  <c r="F60" i="2" l="1"/>
  <c r="D60" i="2"/>
  <c r="F60" i="1" s="1"/>
  <c r="C60" i="2"/>
  <c r="E60" i="1" s="1"/>
  <c r="B60" i="2"/>
  <c r="G59" i="2"/>
  <c r="G59" i="1"/>
  <c r="J59" i="1" s="1"/>
  <c r="H59" i="1" s="1"/>
  <c r="J59" i="2"/>
  <c r="I59" i="1" s="1"/>
  <c r="E59" i="2"/>
  <c r="J58" i="1"/>
  <c r="H58" i="1" s="1"/>
  <c r="J60" i="2" l="1"/>
  <c r="I60" i="1" s="1"/>
  <c r="E60" i="2"/>
  <c r="G60" i="2"/>
  <c r="G60" i="1"/>
  <c r="J60" i="1" s="1"/>
  <c r="H60" i="1" s="1"/>
  <c r="H60" i="2"/>
  <c r="I60" i="2"/>
  <c r="C61" i="2" l="1"/>
  <c r="E61" i="1" s="1"/>
  <c r="F61" i="2"/>
  <c r="D61" i="2"/>
  <c r="F61" i="1" s="1"/>
  <c r="B61" i="2"/>
  <c r="E61" i="2" l="1"/>
  <c r="J61" i="2"/>
  <c r="I61" i="1" s="1"/>
  <c r="G61" i="2"/>
  <c r="G61" i="1"/>
  <c r="J61" i="1" s="1"/>
  <c r="H61" i="1" s="1"/>
  <c r="H61" i="2"/>
  <c r="I61" i="2"/>
  <c r="D62" i="2" l="1"/>
  <c r="F62" i="1" s="1"/>
  <c r="C62" i="2"/>
  <c r="E62" i="1" s="1"/>
  <c r="B62" i="2"/>
  <c r="H62" i="2"/>
  <c r="F62" i="2"/>
  <c r="G62" i="2" l="1"/>
  <c r="G62" i="1"/>
  <c r="J62" i="1" s="1"/>
  <c r="H62" i="1" s="1"/>
  <c r="E62" i="2"/>
  <c r="J62" i="2"/>
  <c r="I62" i="1" s="1"/>
  <c r="I62" i="2"/>
  <c r="F63" i="2" l="1"/>
  <c r="D63" i="2"/>
  <c r="F63" i="1" s="1"/>
  <c r="C63" i="2"/>
  <c r="E63" i="1" s="1"/>
  <c r="B63" i="2"/>
  <c r="J63" i="2" l="1"/>
  <c r="I63" i="1" s="1"/>
  <c r="E63" i="2"/>
  <c r="H63" i="2"/>
  <c r="G63" i="2"/>
  <c r="G63" i="1"/>
  <c r="J63" i="1" s="1"/>
  <c r="H63" i="1" s="1"/>
  <c r="I63" i="2"/>
  <c r="C64" i="2" l="1"/>
  <c r="E64" i="1" s="1"/>
  <c r="F64" i="2"/>
  <c r="D64" i="2"/>
  <c r="F64" i="1" s="1"/>
  <c r="B64" i="2"/>
  <c r="H64" i="2" s="1"/>
  <c r="J64" i="2" l="1"/>
  <c r="I64" i="1" s="1"/>
  <c r="E64" i="2"/>
  <c r="G64" i="2"/>
  <c r="G64" i="1"/>
  <c r="J64" i="1" s="1"/>
  <c r="H64" i="1" s="1"/>
  <c r="I64" i="2"/>
  <c r="F65" i="2" l="1"/>
  <c r="D65" i="2"/>
  <c r="F65" i="1" s="1"/>
  <c r="C65" i="2"/>
  <c r="E65" i="1" s="1"/>
  <c r="B65" i="2"/>
  <c r="I65" i="2" s="1"/>
  <c r="C66" i="2" l="1"/>
  <c r="E66" i="1" s="1"/>
  <c r="F66" i="2"/>
  <c r="D66" i="2"/>
  <c r="F66" i="1" s="1"/>
  <c r="E65" i="2"/>
  <c r="J65" i="2"/>
  <c r="I65" i="1" s="1"/>
  <c r="H65" i="2"/>
  <c r="B66" i="2" s="1"/>
  <c r="G65" i="2"/>
  <c r="G65" i="1"/>
  <c r="J65" i="1" s="1"/>
  <c r="H65" i="1" s="1"/>
  <c r="E66" i="2" l="1"/>
  <c r="J66" i="2"/>
  <c r="I66" i="1" s="1"/>
  <c r="I66" i="2"/>
  <c r="H66" i="2"/>
  <c r="G66" i="2"/>
  <c r="G66" i="1"/>
  <c r="J66" i="1" s="1"/>
  <c r="H66" i="1" s="1"/>
  <c r="C67" i="2" l="1"/>
  <c r="E67" i="1" s="1"/>
  <c r="F67" i="2"/>
  <c r="D67" i="2"/>
  <c r="F67" i="1" s="1"/>
  <c r="B67" i="2"/>
  <c r="J67" i="2" l="1"/>
  <c r="I67" i="1" s="1"/>
  <c r="E67" i="2"/>
  <c r="H67" i="2"/>
  <c r="I67" i="2"/>
  <c r="G67" i="2"/>
  <c r="G67" i="1"/>
  <c r="J67" i="1" s="1"/>
  <c r="H67" i="1" s="1"/>
  <c r="F68" i="2" l="1"/>
  <c r="D68" i="2"/>
  <c r="F68" i="1" s="1"/>
  <c r="B68" i="2"/>
  <c r="C68" i="2"/>
  <c r="E68" i="1" s="1"/>
  <c r="E68" i="2" l="1"/>
  <c r="J68" i="2"/>
  <c r="I68" i="1" s="1"/>
  <c r="G68" i="2"/>
  <c r="G68" i="1"/>
  <c r="J68" i="1" s="1"/>
  <c r="H68" i="1" s="1"/>
  <c r="H68" i="2"/>
  <c r="I68" i="2"/>
  <c r="D69" i="2" l="1"/>
  <c r="F69" i="1" s="1"/>
  <c r="C69" i="2"/>
  <c r="E69" i="1" s="1"/>
  <c r="B69" i="2"/>
  <c r="I69" i="2" s="1"/>
  <c r="H69" i="2"/>
  <c r="F69" i="2"/>
  <c r="C70" i="2" l="1"/>
  <c r="E70" i="1" s="1"/>
  <c r="B70" i="2"/>
  <c r="H70" i="2"/>
  <c r="F70" i="2"/>
  <c r="I70" i="2"/>
  <c r="D70" i="2"/>
  <c r="F70" i="1" s="1"/>
  <c r="G69" i="2"/>
  <c r="G69" i="1"/>
  <c r="J69" i="1" s="1"/>
  <c r="H69" i="1" s="1"/>
  <c r="E69" i="2"/>
  <c r="J69" i="2"/>
  <c r="I69" i="1" s="1"/>
  <c r="F71" i="2" l="1"/>
  <c r="D71" i="2"/>
  <c r="F71" i="1" s="1"/>
  <c r="C71" i="2"/>
  <c r="E71" i="1" s="1"/>
  <c r="B71" i="2"/>
  <c r="G70" i="2"/>
  <c r="G70" i="1"/>
  <c r="J70" i="1" s="1"/>
  <c r="H70" i="1" s="1"/>
  <c r="J70" i="2"/>
  <c r="I70" i="1" s="1"/>
  <c r="E70" i="2"/>
  <c r="J71" i="2" l="1"/>
  <c r="I71" i="1" s="1"/>
  <c r="E71" i="2"/>
  <c r="H71" i="2"/>
  <c r="G71" i="2"/>
  <c r="G71" i="1"/>
  <c r="J71" i="1" s="1"/>
  <c r="H71" i="1" s="1"/>
  <c r="I71" i="2"/>
  <c r="F72" i="2" l="1"/>
  <c r="D72" i="2"/>
  <c r="F72" i="1" s="1"/>
  <c r="C72" i="2"/>
  <c r="E72" i="1" s="1"/>
  <c r="B72" i="2"/>
  <c r="E72" i="2" l="1"/>
  <c r="J72" i="2"/>
  <c r="I72" i="1" s="1"/>
  <c r="I72" i="2"/>
  <c r="G72" i="2"/>
  <c r="G72" i="1"/>
  <c r="J72" i="1" s="1"/>
  <c r="H72" i="1" s="1"/>
  <c r="H72" i="2"/>
  <c r="C73" i="2" l="1"/>
  <c r="E73" i="1" s="1"/>
  <c r="D73" i="2"/>
  <c r="F73" i="1" s="1"/>
  <c r="B73" i="2"/>
  <c r="H73" i="2"/>
  <c r="F73" i="2"/>
  <c r="G73" i="1" l="1"/>
  <c r="J73" i="1" s="1"/>
  <c r="H73" i="1" s="1"/>
  <c r="G73" i="2"/>
  <c r="E73" i="2"/>
  <c r="J73" i="2"/>
  <c r="I73" i="1" s="1"/>
  <c r="I73" i="2"/>
  <c r="F74" i="2" l="1"/>
  <c r="D74" i="2"/>
  <c r="F74" i="1" s="1"/>
  <c r="C74" i="2"/>
  <c r="E74" i="1" s="1"/>
  <c r="B74" i="2"/>
  <c r="J74" i="2" l="1"/>
  <c r="I74" i="1" s="1"/>
  <c r="E74" i="2"/>
  <c r="G74" i="2"/>
  <c r="G74" i="1"/>
  <c r="J74" i="1" s="1"/>
  <c r="H74" i="1" s="1"/>
  <c r="H74" i="2"/>
  <c r="I74" i="2"/>
  <c r="F75" i="2" l="1"/>
  <c r="D75" i="2"/>
  <c r="F75" i="1" s="1"/>
  <c r="B75" i="2"/>
  <c r="C75" i="2"/>
  <c r="E75" i="1" s="1"/>
  <c r="J75" i="2" l="1"/>
  <c r="I75" i="1" s="1"/>
  <c r="E75" i="2"/>
  <c r="G75" i="2"/>
  <c r="G75" i="1"/>
  <c r="J75" i="1" s="1"/>
  <c r="H75" i="1" s="1"/>
  <c r="H75" i="2"/>
  <c r="I75" i="2"/>
  <c r="C76" i="2" l="1"/>
  <c r="E76" i="1" s="1"/>
  <c r="F76" i="2"/>
  <c r="D76" i="2"/>
  <c r="F76" i="1" s="1"/>
  <c r="B76" i="2"/>
  <c r="I76" i="2" s="1"/>
  <c r="H76" i="2"/>
  <c r="C77" i="2" l="1"/>
  <c r="E77" i="1" s="1"/>
  <c r="B77" i="2"/>
  <c r="F77" i="2"/>
  <c r="I77" i="2"/>
  <c r="D77" i="2"/>
  <c r="F77" i="1" s="1"/>
  <c r="G76" i="2"/>
  <c r="G76" i="1"/>
  <c r="J76" i="1" s="1"/>
  <c r="H76" i="1" s="1"/>
  <c r="E76" i="2"/>
  <c r="J76" i="2"/>
  <c r="I76" i="1" s="1"/>
  <c r="G77" i="1" l="1"/>
  <c r="J77" i="1" s="1"/>
  <c r="H77" i="1" s="1"/>
  <c r="G77" i="2"/>
  <c r="J77" i="2"/>
  <c r="I77" i="1" s="1"/>
  <c r="E77" i="2"/>
  <c r="F78" i="2"/>
  <c r="D78" i="2"/>
  <c r="F78" i="1" s="1"/>
  <c r="C78" i="2"/>
  <c r="E78" i="1" s="1"/>
  <c r="H77" i="2"/>
  <c r="B78" i="2" s="1"/>
  <c r="J78" i="2" l="1"/>
  <c r="I78" i="1" s="1"/>
  <c r="E78" i="2"/>
  <c r="H78" i="2"/>
  <c r="I78" i="2"/>
  <c r="G78" i="2"/>
  <c r="G78" i="1"/>
  <c r="J78" i="1" s="1"/>
  <c r="H78" i="1" s="1"/>
  <c r="C79" i="2" l="1"/>
  <c r="E79" i="1" s="1"/>
  <c r="F79" i="2"/>
  <c r="D79" i="2"/>
  <c r="F79" i="1" s="1"/>
  <c r="B79" i="2"/>
  <c r="I79" i="2" s="1"/>
  <c r="D80" i="2" l="1"/>
  <c r="F80" i="1" s="1"/>
  <c r="C80" i="2"/>
  <c r="E80" i="1" s="1"/>
  <c r="F80" i="2"/>
  <c r="H79" i="2"/>
  <c r="B80" i="2" s="1"/>
  <c r="E79" i="2"/>
  <c r="J79" i="2"/>
  <c r="I79" i="1" s="1"/>
  <c r="G79" i="2"/>
  <c r="G79" i="1"/>
  <c r="J79" i="1" s="1"/>
  <c r="H79" i="1" s="1"/>
  <c r="E80" i="2" l="1"/>
  <c r="J80" i="2"/>
  <c r="I80" i="1" s="1"/>
  <c r="I80" i="2"/>
  <c r="H80" i="2"/>
  <c r="G80" i="2"/>
  <c r="G80" i="1"/>
  <c r="J80" i="1" s="1"/>
  <c r="H80" i="1" s="1"/>
  <c r="F81" i="2" l="1"/>
  <c r="D81" i="2"/>
  <c r="F81" i="1" s="1"/>
  <c r="C81" i="2"/>
  <c r="E81" i="1" s="1"/>
  <c r="B81" i="2"/>
  <c r="J81" i="2" l="1"/>
  <c r="I81" i="1" s="1"/>
  <c r="E81" i="2"/>
  <c r="H81" i="2"/>
  <c r="G81" i="2"/>
  <c r="G81" i="1"/>
  <c r="J81" i="1" s="1"/>
  <c r="H81" i="1" s="1"/>
  <c r="I81" i="2"/>
  <c r="C82" i="2" l="1"/>
  <c r="E82" i="1" s="1"/>
  <c r="F82" i="2"/>
  <c r="D82" i="2"/>
  <c r="F82" i="1" s="1"/>
  <c r="B82" i="2"/>
  <c r="I82" i="2" s="1"/>
  <c r="F83" i="2" l="1"/>
  <c r="D83" i="2"/>
  <c r="F83" i="1" s="1"/>
  <c r="C83" i="2"/>
  <c r="E83" i="1" s="1"/>
  <c r="G82" i="2"/>
  <c r="G82" i="1"/>
  <c r="J82" i="1" s="1"/>
  <c r="H82" i="1" s="1"/>
  <c r="H82" i="2"/>
  <c r="B83" i="2" s="1"/>
  <c r="J82" i="2"/>
  <c r="I82" i="1" s="1"/>
  <c r="E82" i="2"/>
  <c r="E83" i="2" l="1"/>
  <c r="J83" i="2"/>
  <c r="I83" i="1" s="1"/>
  <c r="I83" i="2"/>
  <c r="H83" i="2"/>
  <c r="G83" i="2"/>
  <c r="G83" i="1"/>
  <c r="J83" i="1" s="1"/>
  <c r="H83" i="1" s="1"/>
  <c r="C84" i="2" l="1"/>
  <c r="E84" i="1" s="1"/>
  <c r="B84" i="2"/>
  <c r="I84" i="2" s="1"/>
  <c r="F84" i="2"/>
  <c r="D84" i="2"/>
  <c r="F84" i="1" s="1"/>
  <c r="C85" i="2" l="1"/>
  <c r="E85" i="1" s="1"/>
  <c r="F85" i="2"/>
  <c r="D85" i="2"/>
  <c r="F85" i="1" s="1"/>
  <c r="E84" i="2"/>
  <c r="J84" i="2"/>
  <c r="I84" i="1" s="1"/>
  <c r="G84" i="2"/>
  <c r="G84" i="1"/>
  <c r="J84" i="1" s="1"/>
  <c r="H84" i="1" s="1"/>
  <c r="H84" i="2"/>
  <c r="B85" i="2" s="1"/>
  <c r="J85" i="2" l="1"/>
  <c r="I85" i="1" s="1"/>
  <c r="E85" i="2"/>
  <c r="I85" i="2"/>
  <c r="H85" i="2"/>
  <c r="G85" i="1"/>
  <c r="J85" i="1" s="1"/>
  <c r="H85" i="1" s="1"/>
  <c r="G85" i="2"/>
  <c r="F86" i="2" l="1"/>
  <c r="D86" i="2"/>
  <c r="F86" i="1" s="1"/>
  <c r="B86" i="2"/>
  <c r="C86" i="2"/>
  <c r="E86" i="1" s="1"/>
  <c r="E86" i="2" l="1"/>
  <c r="J86" i="2"/>
  <c r="I86" i="1" s="1"/>
  <c r="G86" i="2"/>
  <c r="G86" i="1"/>
  <c r="J86" i="1" s="1"/>
  <c r="H86" i="1" s="1"/>
  <c r="H86" i="2"/>
  <c r="I86" i="2"/>
  <c r="D87" i="2" l="1"/>
  <c r="F87" i="1" s="1"/>
  <c r="C87" i="2"/>
  <c r="E87" i="1" s="1"/>
  <c r="B87" i="2"/>
  <c r="F87" i="2"/>
  <c r="E87" i="2" l="1"/>
  <c r="J87" i="2"/>
  <c r="I87" i="1" s="1"/>
  <c r="G87" i="2"/>
  <c r="G87" i="1"/>
  <c r="J87" i="1" s="1"/>
  <c r="H87" i="1" s="1"/>
  <c r="H87" i="2"/>
  <c r="I87" i="2"/>
  <c r="C88" i="2" l="1"/>
  <c r="E88" i="1" s="1"/>
  <c r="B88" i="2"/>
  <c r="H88" i="2"/>
  <c r="F88" i="2"/>
  <c r="D88" i="2"/>
  <c r="F88" i="1" s="1"/>
  <c r="I88" i="2"/>
  <c r="F89" i="2" l="1"/>
  <c r="D89" i="2"/>
  <c r="F89" i="1" s="1"/>
  <c r="C89" i="2"/>
  <c r="E89" i="1" s="1"/>
  <c r="B89" i="2"/>
  <c r="G88" i="2"/>
  <c r="G88" i="1"/>
  <c r="J88" i="1" s="1"/>
  <c r="H88" i="1" s="1"/>
  <c r="J88" i="2"/>
  <c r="I88" i="1" s="1"/>
  <c r="E88" i="2"/>
  <c r="J89" i="2" l="1"/>
  <c r="I89" i="1" s="1"/>
  <c r="E89" i="2"/>
  <c r="G89" i="1"/>
  <c r="J89" i="1" s="1"/>
  <c r="H89" i="1" s="1"/>
  <c r="G89" i="2"/>
  <c r="H89" i="2"/>
  <c r="I89" i="2"/>
  <c r="F90" i="2" l="1"/>
  <c r="D90" i="2"/>
  <c r="F90" i="1" s="1"/>
  <c r="C90" i="2"/>
  <c r="E90" i="1" s="1"/>
  <c r="B90" i="2"/>
  <c r="E90" i="2" l="1"/>
  <c r="J90" i="2"/>
  <c r="I90" i="1" s="1"/>
  <c r="I90" i="2"/>
  <c r="G90" i="2"/>
  <c r="G90" i="1"/>
  <c r="J90" i="1" s="1"/>
  <c r="H90" i="1" s="1"/>
  <c r="H90" i="2"/>
  <c r="C91" i="2" l="1"/>
  <c r="E91" i="1" s="1"/>
  <c r="D91" i="2"/>
  <c r="F91" i="1" s="1"/>
  <c r="B91" i="2"/>
  <c r="F91" i="2"/>
  <c r="G91" i="2" l="1"/>
  <c r="G91" i="1"/>
  <c r="J91" i="1" s="1"/>
  <c r="H91" i="1" s="1"/>
  <c r="E91" i="2"/>
  <c r="J91" i="2"/>
  <c r="I91" i="1" s="1"/>
  <c r="I91" i="2"/>
  <c r="H91" i="2"/>
  <c r="F92" i="2" l="1"/>
  <c r="D92" i="2"/>
  <c r="F92" i="1" s="1"/>
  <c r="C92" i="2"/>
  <c r="E92" i="1" s="1"/>
  <c r="B92" i="2"/>
  <c r="J92" i="2" l="1"/>
  <c r="I92" i="1" s="1"/>
  <c r="E92" i="2"/>
  <c r="H92" i="2"/>
  <c r="G92" i="2"/>
  <c r="G92" i="1"/>
  <c r="J92" i="1" s="1"/>
  <c r="H92" i="1" s="1"/>
  <c r="I92" i="2"/>
  <c r="F93" i="2" l="1"/>
  <c r="D93" i="2"/>
  <c r="F93" i="1" s="1"/>
  <c r="B93" i="2"/>
  <c r="C93" i="2"/>
  <c r="E93" i="1" s="1"/>
  <c r="J93" i="2" l="1"/>
  <c r="I93" i="1" s="1"/>
  <c r="E93" i="2"/>
  <c r="G93" i="2"/>
  <c r="G93" i="1"/>
  <c r="J93" i="1" s="1"/>
  <c r="H93" i="1" s="1"/>
  <c r="H93" i="2"/>
  <c r="I93" i="2"/>
  <c r="C94" i="2" l="1"/>
  <c r="E94" i="1" s="1"/>
  <c r="F94" i="2"/>
  <c r="D94" i="2"/>
  <c r="F94" i="1" s="1"/>
  <c r="B94" i="2"/>
  <c r="I94" i="2"/>
  <c r="H94" i="2"/>
  <c r="C95" i="2" l="1"/>
  <c r="E95" i="1" s="1"/>
  <c r="B95" i="2"/>
  <c r="F95" i="2"/>
  <c r="I95" i="2"/>
  <c r="D95" i="2"/>
  <c r="F95" i="1" s="1"/>
  <c r="E94" i="2"/>
  <c r="J94" i="2"/>
  <c r="I94" i="1" s="1"/>
  <c r="G94" i="2"/>
  <c r="G94" i="1"/>
  <c r="J94" i="1" s="1"/>
  <c r="H94" i="1" s="1"/>
  <c r="J95" i="2" l="1"/>
  <c r="I95" i="1" s="1"/>
  <c r="E95" i="2"/>
  <c r="F96" i="2"/>
  <c r="D96" i="2"/>
  <c r="F96" i="1" s="1"/>
  <c r="C96" i="2"/>
  <c r="E96" i="1" s="1"/>
  <c r="G95" i="2"/>
  <c r="G95" i="1"/>
  <c r="J95" i="1" s="1"/>
  <c r="H95" i="1" s="1"/>
  <c r="H95" i="2"/>
  <c r="B96" i="2" s="1"/>
  <c r="J96" i="2" l="1"/>
  <c r="I96" i="1" s="1"/>
  <c r="E96" i="2"/>
  <c r="I96" i="2"/>
  <c r="H96" i="2"/>
  <c r="G96" i="2"/>
  <c r="G96" i="1"/>
  <c r="J96" i="1" s="1"/>
  <c r="H96" i="1" s="1"/>
  <c r="C97" i="2" l="1"/>
  <c r="E97" i="1" s="1"/>
  <c r="F97" i="2"/>
  <c r="D97" i="2"/>
  <c r="F97" i="1" s="1"/>
  <c r="B97" i="2"/>
  <c r="H97" i="2" s="1"/>
  <c r="G97" i="1" l="1"/>
  <c r="J97" i="1" s="1"/>
  <c r="H97" i="1" s="1"/>
  <c r="G97" i="2"/>
  <c r="E97" i="2"/>
  <c r="J97" i="2"/>
  <c r="I97" i="1" s="1"/>
  <c r="I97" i="2"/>
  <c r="D98" i="2" l="1"/>
  <c r="F98" i="1" s="1"/>
  <c r="C98" i="2"/>
  <c r="E98" i="1" s="1"/>
  <c r="B98" i="2"/>
  <c r="I98" i="2"/>
  <c r="H98" i="2"/>
  <c r="F98" i="2"/>
  <c r="G98" i="2" l="1"/>
  <c r="G98" i="1"/>
  <c r="J98" i="1" s="1"/>
  <c r="H98" i="1" s="1"/>
  <c r="F99" i="2"/>
  <c r="D99" i="2"/>
  <c r="F99" i="1" s="1"/>
  <c r="C99" i="2"/>
  <c r="E99" i="1" s="1"/>
  <c r="B99" i="2"/>
  <c r="E98" i="2"/>
  <c r="J98" i="2"/>
  <c r="I98" i="1" s="1"/>
  <c r="J99" i="2" l="1"/>
  <c r="I99" i="1" s="1"/>
  <c r="E99" i="2"/>
  <c r="G99" i="2"/>
  <c r="G99" i="1"/>
  <c r="J99" i="1" s="1"/>
  <c r="H99" i="1" s="1"/>
  <c r="I99" i="2"/>
  <c r="H99" i="2"/>
  <c r="C100" i="2" l="1"/>
  <c r="E100" i="1" s="1"/>
  <c r="F100" i="2"/>
  <c r="D100" i="2"/>
  <c r="F100" i="1" s="1"/>
  <c r="B100" i="2"/>
  <c r="J100" i="2" l="1"/>
  <c r="I100" i="1" s="1"/>
  <c r="E100" i="2"/>
  <c r="G100" i="2"/>
  <c r="G100" i="1"/>
  <c r="J100" i="1" s="1"/>
  <c r="H100" i="1" s="1"/>
  <c r="H100" i="2"/>
  <c r="I100" i="2"/>
  <c r="F101" i="2" l="1"/>
  <c r="D101" i="2"/>
  <c r="F101" i="1" s="1"/>
  <c r="C101" i="2"/>
  <c r="E101" i="1" s="1"/>
  <c r="B101" i="2"/>
  <c r="I101" i="2" s="1"/>
  <c r="H101" i="2"/>
  <c r="C102" i="2" l="1"/>
  <c r="E102" i="1" s="1"/>
  <c r="B102" i="2"/>
  <c r="I102" i="2"/>
  <c r="H102" i="2"/>
  <c r="F102" i="2"/>
  <c r="D102" i="2"/>
  <c r="F102" i="1" s="1"/>
  <c r="E101" i="2"/>
  <c r="J101" i="2"/>
  <c r="I101" i="1" s="1"/>
  <c r="G101" i="1"/>
  <c r="J101" i="1" s="1"/>
  <c r="H101" i="1" s="1"/>
  <c r="G101" i="2"/>
  <c r="G102" i="2" l="1"/>
  <c r="G102" i="1"/>
  <c r="E102" i="2"/>
  <c r="J102" i="2"/>
  <c r="I102" i="1" s="1"/>
  <c r="O28" i="1"/>
  <c r="O27" i="1"/>
  <c r="J102" i="1" l="1"/>
  <c r="O24" i="1"/>
  <c r="O25" i="1" s="1"/>
  <c r="P25" i="1" s="1"/>
  <c r="P27" i="1"/>
  <c r="H102" i="1" l="1"/>
  <c r="O19" i="1"/>
  <c r="O21" i="1" s="1"/>
</calcChain>
</file>

<file path=xl/sharedStrings.xml><?xml version="1.0" encoding="utf-8"?>
<sst xmlns="http://schemas.openxmlformats.org/spreadsheetml/2006/main" count="45" uniqueCount="41">
  <si>
    <t>Observação</t>
  </si>
  <si>
    <t>N°</t>
  </si>
  <si>
    <t>Resultado</t>
  </si>
  <si>
    <t>Investimento</t>
  </si>
  <si>
    <t>Retorno</t>
  </si>
  <si>
    <t>Capital Atual</t>
  </si>
  <si>
    <t>W</t>
  </si>
  <si>
    <t>L</t>
  </si>
  <si>
    <t>Gerenciamento Masaniello BotCloud</t>
  </si>
  <si>
    <t>Configurar Gerenciamento</t>
  </si>
  <si>
    <t>Capital investido</t>
  </si>
  <si>
    <t>Operações totais</t>
  </si>
  <si>
    <t>Vitórias</t>
  </si>
  <si>
    <t>Payout</t>
  </si>
  <si>
    <t>Modo</t>
  </si>
  <si>
    <t>Normal</t>
  </si>
  <si>
    <t>Resultado a ser atingido</t>
  </si>
  <si>
    <t>Resultado esperado R$</t>
  </si>
  <si>
    <t>Resultado esperado %</t>
  </si>
  <si>
    <t>Stop Win recomendado</t>
  </si>
  <si>
    <t>Situação Atual</t>
  </si>
  <si>
    <t>Capital Atual Disponível</t>
  </si>
  <si>
    <t>Balanço</t>
  </si>
  <si>
    <t>Derrotas</t>
  </si>
  <si>
    <t>Banca (Cassa)</t>
  </si>
  <si>
    <t>Max</t>
  </si>
  <si>
    <t>Loss (Perdite)</t>
  </si>
  <si>
    <t>Win (Vincite)</t>
  </si>
  <si>
    <t>Operações (eventi)</t>
  </si>
  <si>
    <t>W-L</t>
  </si>
  <si>
    <t>Retorno (Ritorno)</t>
  </si>
  <si>
    <t>Cancelamento (Prelievo)</t>
  </si>
  <si>
    <t>Oper. Win (atesi)</t>
  </si>
  <si>
    <t>Payout (quota)</t>
  </si>
  <si>
    <t>Masaniello tippo</t>
  </si>
  <si>
    <t>% da reinvestire</t>
  </si>
  <si>
    <t>payout</t>
  </si>
  <si>
    <t>matriz 2x2</t>
  </si>
  <si>
    <t>matriz 2x1</t>
  </si>
  <si>
    <t>fator</t>
  </si>
  <si>
    <t>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</si>
</sst>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€-2]\ #,##0.00"/>
    <numFmt numFmtId="165" formatCode="&quot;R$&quot;\ #,##0.00"/>
    <numFmt numFmtId="166" formatCode=";;;"/>
    <numFmt numFmtId="167" formatCode="&quot;R$&quot;\ #,##0.00_);[Red]\(&quot;R$&quot;\ #,###.00\)"/>
    <numFmt numFmtId="168" formatCode="&quot;R$&quot;\ #,##0.00_);[Red]\-&quot;R$&quot;\ #,###.00"/>
  </numFmts>
  <fonts count="14">
    <font>
      <sz val="10"/>
      <color rgb="FF00000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1"/>
      <color rgb="FF000000"/>
      <name val="Inconsolata"/>
      <charset val="134"/>
    </font>
    <font>
      <sz val="10"/>
      <color theme="1"/>
      <name val="Calibri"/>
      <charset val="134"/>
    </font>
    <font>
      <sz val="11"/>
      <color rgb="FFF7981D"/>
      <name val="Inconsolata"/>
      <charset val="134"/>
    </font>
    <font>
      <b/>
      <sz val="11"/>
      <color rgb="FF002060"/>
      <name val="Arial"/>
      <charset val="134"/>
    </font>
    <font>
      <b/>
      <sz val="11"/>
      <color rgb="FF000000"/>
      <name val="Inconsolata"/>
      <charset val="134"/>
    </font>
    <font>
      <b/>
      <sz val="10"/>
      <color rgb="FF010000"/>
      <name val="Arial"/>
      <charset val="134"/>
    </font>
    <font>
      <sz val="10"/>
      <color rgb="FF155724"/>
      <name val="Arial"/>
      <charset val="134"/>
    </font>
    <font>
      <b/>
      <sz val="11"/>
      <color rgb="FF006100"/>
      <name val="calibri"/>
      <scheme val="minor"/>
    </font>
    <font>
      <sz val="11"/>
      <color rgb="FF006100"/>
      <name val="calibri"/>
      <scheme val="minor"/>
    </font>
    <font>
      <b/>
      <sz val="11"/>
      <color rgb="FF9C0006"/>
      <name val="calibri"/>
      <scheme val="minor"/>
    </font>
    <font>
      <sz val="11"/>
      <color rgb="FF9C0006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0"/>
        <bgColor theme="0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auto="1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auto="1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auto="1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auto="1"/>
      </right>
      <top style="thin">
        <color theme="4" tint="0.39994506668294322"/>
      </top>
      <bottom/>
      <diagonal/>
    </border>
    <border>
      <left style="thin">
        <color auto="1"/>
      </left>
      <right style="thin">
        <color theme="4" tint="0.39994506668294322"/>
      </right>
      <top/>
      <bottom style="thin">
        <color auto="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auto="1"/>
      </bottom>
      <diagonal/>
    </border>
    <border>
      <left style="thin">
        <color theme="4" tint="0.39994506668294322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4" tint="0.39994506668294322"/>
      </right>
      <top style="thin">
        <color theme="4" tint="0.39994506668294322"/>
      </top>
      <bottom style="thin">
        <color auto="1"/>
      </bottom>
      <diagonal/>
    </border>
    <border>
      <left style="thin">
        <color theme="4" tint="0.39994506668294322"/>
      </left>
      <right style="thin">
        <color auto="1"/>
      </right>
      <top style="thin">
        <color theme="4" tint="0.39994506668294322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1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</cellStyleXfs>
  <cellXfs count="103">
    <xf numFmtId="0" fontId="0" fillId="0" borderId="0" xfId="0" applyFont="1" applyAlignment="1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" fontId="1" fillId="0" borderId="0" xfId="0" applyNumberFormat="1" applyFont="1"/>
    <xf numFmtId="0" fontId="3" fillId="2" borderId="0" xfId="0" applyFont="1" applyFill="1" applyBorder="1" applyAlignment="1">
      <alignment horizontal="left"/>
    </xf>
    <xf numFmtId="0" fontId="2" fillId="0" borderId="0" xfId="0" applyFont="1" applyAlignment="1">
      <alignment horizontal="right"/>
    </xf>
    <xf numFmtId="1" fontId="1" fillId="0" borderId="0" xfId="0" applyNumberFormat="1" applyFont="1" applyAlignment="1">
      <alignment horizontal="left"/>
    </xf>
    <xf numFmtId="0" fontId="2" fillId="0" borderId="0" xfId="0" applyFont="1"/>
    <xf numFmtId="0" fontId="1" fillId="0" borderId="0" xfId="0" applyFont="1"/>
    <xf numFmtId="4" fontId="1" fillId="0" borderId="0" xfId="0" applyNumberFormat="1" applyFont="1" applyAlignment="1">
      <alignment horizontal="left"/>
    </xf>
    <xf numFmtId="0" fontId="0" fillId="2" borderId="0" xfId="0" applyFont="1" applyFill="1" applyBorder="1"/>
    <xf numFmtId="0" fontId="4" fillId="0" borderId="0" xfId="0" applyFont="1"/>
    <xf numFmtId="0" fontId="1" fillId="3" borderId="0" xfId="0" applyFont="1" applyFill="1" applyBorder="1" applyAlignment="1">
      <alignment horizontal="center"/>
    </xf>
    <xf numFmtId="4" fontId="1" fillId="3" borderId="0" xfId="0" applyNumberFormat="1" applyFont="1" applyFill="1" applyBorder="1" applyAlignment="1">
      <alignment horizontal="center"/>
    </xf>
    <xf numFmtId="4" fontId="4" fillId="0" borderId="0" xfId="0" applyNumberFormat="1" applyFont="1"/>
    <xf numFmtId="0" fontId="5" fillId="2" borderId="0" xfId="0" applyFont="1" applyFill="1" applyAlignment="1"/>
    <xf numFmtId="0" fontId="5" fillId="2" borderId="0" xfId="0" applyFont="1" applyFill="1"/>
    <xf numFmtId="4" fontId="1" fillId="0" borderId="0" xfId="0" applyNumberFormat="1" applyFont="1" applyAlignment="1"/>
    <xf numFmtId="4" fontId="3" fillId="2" borderId="0" xfId="0" applyNumberFormat="1" applyFont="1" applyFill="1" applyAlignment="1"/>
    <xf numFmtId="0" fontId="1" fillId="0" borderId="0" xfId="0" applyFont="1" applyAlignment="1"/>
    <xf numFmtId="0" fontId="3" fillId="2" borderId="0" xfId="0" applyFont="1" applyFill="1" applyAlignment="1"/>
    <xf numFmtId="0" fontId="3" fillId="2" borderId="0" xfId="0" applyFont="1" applyFill="1"/>
    <xf numFmtId="0" fontId="2" fillId="3" borderId="0" xfId="0" applyFont="1" applyFill="1" applyBorder="1"/>
    <xf numFmtId="0" fontId="1" fillId="3" borderId="0" xfId="0" applyFont="1" applyFill="1" applyBorder="1"/>
    <xf numFmtId="0" fontId="0" fillId="4" borderId="0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4" fontId="6" fillId="5" borderId="1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vertical="center"/>
    </xf>
    <xf numFmtId="0" fontId="1" fillId="6" borderId="3" xfId="0" applyFont="1" applyFill="1" applyBorder="1" applyAlignment="1">
      <alignment horizontal="center" vertical="center"/>
    </xf>
    <xf numFmtId="4" fontId="1" fillId="6" borderId="3" xfId="0" applyNumberFormat="1" applyFont="1" applyFill="1" applyBorder="1" applyAlignment="1">
      <alignment horizontal="center" vertical="center"/>
    </xf>
    <xf numFmtId="165" fontId="1" fillId="6" borderId="3" xfId="0" applyNumberFormat="1" applyFont="1" applyFill="1" applyBorder="1" applyAlignment="1">
      <alignment horizontal="center" vertical="center"/>
    </xf>
    <xf numFmtId="10" fontId="1" fillId="6" borderId="3" xfId="0" applyNumberFormat="1" applyFont="1" applyFill="1" applyBorder="1" applyAlignment="1">
      <alignment horizontal="left" vertical="center"/>
    </xf>
    <xf numFmtId="0" fontId="1" fillId="5" borderId="4" xfId="0" applyFont="1" applyFill="1" applyBorder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4" fontId="1" fillId="5" borderId="5" xfId="0" applyNumberFormat="1" applyFont="1" applyFill="1" applyBorder="1" applyAlignment="1">
      <alignment horizontal="center" vertical="center"/>
    </xf>
    <xf numFmtId="165" fontId="1" fillId="5" borderId="5" xfId="0" applyNumberFormat="1" applyFont="1" applyFill="1" applyBorder="1" applyAlignment="1">
      <alignment horizontal="center" vertical="center"/>
    </xf>
    <xf numFmtId="10" fontId="1" fillId="5" borderId="5" xfId="0" applyNumberFormat="1" applyFont="1" applyFill="1" applyBorder="1" applyAlignment="1">
      <alignment horizontal="left" vertical="center"/>
    </xf>
    <xf numFmtId="0" fontId="1" fillId="6" borderId="4" xfId="0" applyFont="1" applyFill="1" applyBorder="1" applyAlignment="1">
      <alignment vertical="center"/>
    </xf>
    <xf numFmtId="0" fontId="1" fillId="6" borderId="5" xfId="0" applyFont="1" applyFill="1" applyBorder="1" applyAlignment="1">
      <alignment horizontal="center" vertical="center"/>
    </xf>
    <xf numFmtId="4" fontId="1" fillId="6" borderId="5" xfId="0" applyNumberFormat="1" applyFont="1" applyFill="1" applyBorder="1" applyAlignment="1">
      <alignment horizontal="center" vertical="center"/>
    </xf>
    <xf numFmtId="165" fontId="1" fillId="6" borderId="5" xfId="0" applyNumberFormat="1" applyFont="1" applyFill="1" applyBorder="1" applyAlignment="1">
      <alignment horizontal="center" vertical="center"/>
    </xf>
    <xf numFmtId="10" fontId="1" fillId="6" borderId="5" xfId="0" applyNumberFormat="1" applyFont="1" applyFill="1" applyBorder="1" applyAlignment="1">
      <alignment horizontal="left" vertical="center"/>
    </xf>
    <xf numFmtId="166" fontId="1" fillId="0" borderId="0" xfId="0" applyNumberFormat="1" applyFont="1" applyAlignment="1">
      <alignment vertical="center"/>
    </xf>
    <xf numFmtId="166" fontId="7" fillId="7" borderId="0" xfId="0" applyNumberFormat="1" applyFont="1" applyFill="1" applyBorder="1" applyAlignment="1">
      <alignment horizontal="right" vertical="center"/>
    </xf>
    <xf numFmtId="166" fontId="8" fillId="7" borderId="0" xfId="0" applyNumberFormat="1" applyFont="1" applyFill="1" applyBorder="1" applyAlignment="1">
      <alignment horizontal="left" vertical="center"/>
    </xf>
    <xf numFmtId="10" fontId="1" fillId="6" borderId="3" xfId="0" applyNumberFormat="1" applyFont="1" applyFill="1" applyBorder="1" applyAlignment="1">
      <alignment horizontal="center" vertical="center"/>
    </xf>
    <xf numFmtId="4" fontId="1" fillId="6" borderId="6" xfId="0" applyNumberFormat="1" applyFont="1" applyFill="1" applyBorder="1" applyAlignment="1">
      <alignment horizontal="center" vertical="center"/>
    </xf>
    <xf numFmtId="166" fontId="3" fillId="2" borderId="0" xfId="0" applyNumberFormat="1" applyFont="1" applyFill="1" applyBorder="1" applyAlignment="1">
      <alignment horizontal="right" vertical="center"/>
    </xf>
    <xf numFmtId="166" fontId="3" fillId="2" borderId="0" xfId="0" applyNumberFormat="1" applyFont="1" applyFill="1" applyBorder="1" applyAlignment="1">
      <alignment vertical="center"/>
    </xf>
    <xf numFmtId="10" fontId="1" fillId="5" borderId="5" xfId="0" applyNumberFormat="1" applyFont="1" applyFill="1" applyBorder="1" applyAlignment="1">
      <alignment horizontal="center" vertical="center"/>
    </xf>
    <xf numFmtId="4" fontId="1" fillId="5" borderId="7" xfId="0" applyNumberFormat="1" applyFont="1" applyFill="1" applyBorder="1" applyAlignment="1">
      <alignment horizontal="center" vertical="center"/>
    </xf>
    <xf numFmtId="10" fontId="1" fillId="6" borderId="5" xfId="0" applyNumberFormat="1" applyFont="1" applyFill="1" applyBorder="1" applyAlignment="1">
      <alignment horizontal="center" vertical="center"/>
    </xf>
    <xf numFmtId="4" fontId="1" fillId="6" borderId="7" xfId="0" applyNumberFormat="1" applyFont="1" applyFill="1" applyBorder="1" applyAlignment="1">
      <alignment horizontal="center" vertical="center"/>
    </xf>
    <xf numFmtId="0" fontId="1" fillId="6" borderId="4" xfId="0" applyNumberFormat="1" applyFont="1" applyFill="1" applyBorder="1" applyAlignment="1">
      <alignment horizontal="right" vertical="center"/>
    </xf>
    <xf numFmtId="0" fontId="1" fillId="5" borderId="4" xfId="0" applyNumberFormat="1" applyFont="1" applyFill="1" applyBorder="1" applyAlignment="1">
      <alignment horizontal="right" vertical="center"/>
    </xf>
    <xf numFmtId="3" fontId="1" fillId="5" borderId="5" xfId="0" applyNumberFormat="1" applyFont="1" applyFill="1" applyBorder="1" applyAlignment="1">
      <alignment horizontal="center" vertical="center"/>
    </xf>
    <xf numFmtId="10" fontId="1" fillId="5" borderId="7" xfId="0" applyNumberFormat="1" applyFont="1" applyFill="1" applyBorder="1" applyAlignment="1">
      <alignment horizontal="center" vertical="center"/>
    </xf>
    <xf numFmtId="0" fontId="1" fillId="6" borderId="17" xfId="0" applyNumberFormat="1" applyFont="1" applyFill="1" applyBorder="1" applyAlignment="1">
      <alignment horizontal="right" vertical="center"/>
    </xf>
    <xf numFmtId="3" fontId="1" fillId="6" borderId="18" xfId="0" applyNumberFormat="1" applyFont="1" applyFill="1" applyBorder="1" applyAlignment="1">
      <alignment horizontal="center" vertical="center"/>
    </xf>
    <xf numFmtId="10" fontId="1" fillId="6" borderId="19" xfId="0" applyNumberFormat="1" applyFont="1" applyFill="1" applyBorder="1" applyAlignment="1">
      <alignment horizontal="center" vertical="center"/>
    </xf>
    <xf numFmtId="0" fontId="1" fillId="6" borderId="20" xfId="0" applyNumberFormat="1" applyFont="1" applyFill="1" applyBorder="1" applyAlignment="1">
      <alignment horizontal="right" vertical="center"/>
    </xf>
    <xf numFmtId="4" fontId="1" fillId="6" borderId="21" xfId="0" applyNumberFormat="1" applyFont="1" applyFill="1" applyBorder="1" applyAlignment="1">
      <alignment horizontal="center" vertical="center"/>
    </xf>
    <xf numFmtId="4" fontId="1" fillId="6" borderId="22" xfId="0" applyNumberFormat="1" applyFont="1" applyFill="1" applyBorder="1" applyAlignment="1">
      <alignment horizontal="center" vertical="center"/>
    </xf>
    <xf numFmtId="167" fontId="1" fillId="6" borderId="5" xfId="0" applyNumberFormat="1" applyFont="1" applyFill="1" applyBorder="1" applyAlignment="1">
      <alignment horizontal="center" vertical="center"/>
    </xf>
    <xf numFmtId="0" fontId="1" fillId="6" borderId="23" xfId="0" applyNumberFormat="1" applyFont="1" applyFill="1" applyBorder="1" applyAlignment="1">
      <alignment horizontal="right" vertical="center"/>
    </xf>
    <xf numFmtId="167" fontId="1" fillId="6" borderId="21" xfId="0" applyNumberFormat="1" applyFont="1" applyFill="1" applyBorder="1" applyAlignment="1">
      <alignment horizontal="center" vertical="center"/>
    </xf>
    <xf numFmtId="10" fontId="1" fillId="6" borderId="24" xfId="0" applyNumberFormat="1" applyFont="1" applyFill="1" applyBorder="1" applyAlignment="1">
      <alignment horizontal="center" vertical="center"/>
    </xf>
    <xf numFmtId="168" fontId="1" fillId="6" borderId="5" xfId="0" applyNumberFormat="1" applyFont="1" applyFill="1" applyBorder="1" applyAlignment="1">
      <alignment horizontal="center" vertical="center"/>
    </xf>
    <xf numFmtId="0" fontId="1" fillId="5" borderId="23" xfId="0" applyNumberFormat="1" applyFont="1" applyFill="1" applyBorder="1" applyAlignment="1">
      <alignment horizontal="right" vertical="center"/>
    </xf>
    <xf numFmtId="168" fontId="1" fillId="5" borderId="21" xfId="0" applyNumberFormat="1" applyFont="1" applyFill="1" applyBorder="1" applyAlignment="1">
      <alignment horizontal="center" vertical="center"/>
    </xf>
    <xf numFmtId="10" fontId="9" fillId="5" borderId="24" xfId="0" applyNumberFormat="1" applyFont="1" applyFill="1" applyBorder="1" applyAlignment="1">
      <alignment horizontal="center" vertical="center"/>
    </xf>
    <xf numFmtId="0" fontId="10" fillId="8" borderId="25" xfId="1" applyFont="1" applyBorder="1" applyAlignment="1">
      <alignment horizontal="right" vertical="center"/>
    </xf>
    <xf numFmtId="0" fontId="10" fillId="8" borderId="9" xfId="1" applyFont="1" applyBorder="1" applyAlignment="1">
      <alignment horizontal="center" vertical="center"/>
    </xf>
    <xf numFmtId="10" fontId="11" fillId="8" borderId="26" xfId="1" applyNumberFormat="1" applyBorder="1" applyAlignment="1">
      <alignment horizontal="center" vertical="center"/>
    </xf>
    <xf numFmtId="0" fontId="12" fillId="9" borderId="27" xfId="2" applyFont="1" applyBorder="1" applyAlignment="1">
      <alignment horizontal="right" vertical="center"/>
    </xf>
    <xf numFmtId="0" fontId="12" fillId="9" borderId="28" xfId="2" applyFont="1" applyBorder="1" applyAlignment="1">
      <alignment horizontal="center" vertical="center"/>
    </xf>
    <xf numFmtId="0" fontId="12" fillId="9" borderId="29" xfId="2" applyFont="1" applyBorder="1" applyAlignment="1">
      <alignment vertical="center"/>
    </xf>
    <xf numFmtId="0" fontId="1" fillId="6" borderId="23" xfId="0" applyFont="1" applyFill="1" applyBorder="1" applyAlignment="1">
      <alignment vertical="center"/>
    </xf>
    <xf numFmtId="0" fontId="1" fillId="6" borderId="21" xfId="0" applyFont="1" applyFill="1" applyBorder="1" applyAlignment="1">
      <alignment vertical="center"/>
    </xf>
    <xf numFmtId="0" fontId="1" fillId="6" borderId="21" xfId="0" applyFont="1" applyFill="1" applyBorder="1" applyAlignment="1">
      <alignment horizontal="center" vertical="center"/>
    </xf>
    <xf numFmtId="165" fontId="1" fillId="6" borderId="2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4" fontId="0" fillId="0" borderId="0" xfId="0" applyNumberFormat="1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0" fontId="1" fillId="6" borderId="24" xfId="0" applyFont="1" applyFill="1" applyBorder="1" applyAlignment="1">
      <alignment vertical="center"/>
    </xf>
    <xf numFmtId="166" fontId="1" fillId="3" borderId="0" xfId="0" applyNumberFormat="1" applyFont="1" applyFill="1" applyBorder="1" applyAlignment="1">
      <alignment vertical="center"/>
    </xf>
    <xf numFmtId="166" fontId="0" fillId="0" borderId="0" xfId="0" applyNumberFormat="1" applyFont="1" applyAlignment="1">
      <alignment vertical="center"/>
    </xf>
    <xf numFmtId="0" fontId="0" fillId="7" borderId="0" xfId="0" applyFont="1" applyFill="1" applyBorder="1" applyAlignment="1">
      <alignment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</cellXfs>
  <cellStyles count="3">
    <cellStyle name="Bom" xfId="1" builtinId="26"/>
    <cellStyle name="Incorreto" xfId="2" builtinId="27"/>
    <cellStyle name="Normal" xfId="0" builtinId="0"/>
  </cellStyles>
  <dxfs count="8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9EAD3"/>
          <bgColor rgb="FFD9EAD3"/>
        </patternFill>
      </fill>
    </dxf>
    <dxf>
      <font>
        <color theme="8" tint="-0.499984740745262"/>
      </font>
    </dxf>
    <dxf>
      <font>
        <color rgb="FF1E7C32"/>
      </font>
    </dxf>
    <dxf>
      <font>
        <color rgb="FFBF2F3C"/>
      </font>
    </dxf>
    <dxf>
      <font>
        <color rgb="FF721C24"/>
      </font>
      <fill>
        <patternFill patternType="solid">
          <bgColor rgb="FFF1ACB4"/>
        </patternFill>
      </fill>
    </dxf>
    <dxf>
      <font>
        <color rgb="FF155724"/>
      </font>
      <fill>
        <patternFill patternType="solid">
          <bgColor rgb="FF9ED6AB"/>
        </patternFill>
      </fill>
    </dxf>
    <dxf>
      <font>
        <color rgb="FFBF2F3C"/>
      </font>
    </dxf>
    <dxf>
      <font>
        <color rgb="FF1E7C32"/>
      </font>
    </dxf>
    <dxf>
      <font>
        <color rgb="FFBF2F3C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D4EDDA"/>
      <color rgb="FF9ED6AB"/>
      <color rgb="FFEC9099"/>
      <color rgb="FF721C24"/>
      <color rgb="FFF1ACB4"/>
      <color rgb="FF1E7C32"/>
      <color rgb="FFBF2F3C"/>
      <color rgb="FF1557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loud.botfree.com.b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905510</xdr:colOff>
      <xdr:row>1</xdr:row>
      <xdr:rowOff>152400</xdr:rowOff>
    </xdr:from>
    <xdr:to>
      <xdr:col>15</xdr:col>
      <xdr:colOff>103505</xdr:colOff>
      <xdr:row>7</xdr:row>
      <xdr:rowOff>81915</xdr:rowOff>
    </xdr:to>
    <xdr:pic>
      <xdr:nvPicPr>
        <xdr:cNvPr id="6" name="Imagem 5" descr="C:\Users\vnune\Desktop\BotPlus\botcloud.pngbotcloud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-2894" t="16" r="-2993" b="-16"/>
        <a:stretch>
          <a:fillRect/>
        </a:stretch>
      </xdr:blipFill>
      <xdr:spPr>
        <a:xfrm>
          <a:off x="8125460" y="352425"/>
          <a:ext cx="1744345" cy="11296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tabSelected="1" topLeftCell="A4" zoomScale="140" zoomScaleNormal="140" workbookViewId="0">
      <selection activeCell="O16" sqref="O16"/>
    </sheetView>
  </sheetViews>
  <sheetFormatPr defaultColWidth="14.42578125" defaultRowHeight="15" customHeight="1"/>
  <cols>
    <col min="1" max="1" width="3.140625" style="26" customWidth="1"/>
    <col min="2" max="2" width="14.28515625" style="27" customWidth="1"/>
    <col min="3" max="3" width="4" style="27" customWidth="1"/>
    <col min="4" max="4" width="13.42578125" style="27" customWidth="1"/>
    <col min="5" max="5" width="15.28515625" style="27" customWidth="1"/>
    <col min="6" max="6" width="10.140625" style="27" customWidth="1"/>
    <col min="7" max="7" width="15.140625" style="27" customWidth="1"/>
    <col min="8" max="8" width="6.28515625" style="27" hidden="1" customWidth="1"/>
    <col min="9" max="9" width="14.28515625" style="27" customWidth="1"/>
    <col min="10" max="10" width="16.140625" style="27" customWidth="1"/>
    <col min="11" max="11" width="7.7109375" style="27" hidden="1" customWidth="1"/>
    <col min="12" max="12" width="1.7109375" style="27" hidden="1" customWidth="1"/>
    <col min="13" max="13" width="2.28515625" style="26" customWidth="1"/>
    <col min="14" max="14" width="23.7109375" style="27" customWidth="1"/>
    <col min="15" max="16" width="14.42578125" style="27" customWidth="1"/>
    <col min="17" max="17" width="17.28515625" style="27" customWidth="1"/>
    <col min="18" max="16384" width="14.42578125" style="27"/>
  </cols>
  <sheetData>
    <row r="1" spans="2:19" ht="15.75" customHeight="1">
      <c r="B1" s="26"/>
      <c r="C1" s="26"/>
      <c r="D1" s="26"/>
      <c r="E1" s="26"/>
      <c r="F1" s="26"/>
      <c r="G1" s="26"/>
      <c r="H1" s="26"/>
      <c r="I1" s="26"/>
      <c r="J1" s="26"/>
      <c r="K1" s="46"/>
      <c r="L1" s="46"/>
      <c r="N1" s="26"/>
      <c r="O1" s="26"/>
      <c r="P1" s="26"/>
      <c r="Q1" s="26"/>
      <c r="R1" s="26"/>
      <c r="S1" s="26"/>
    </row>
    <row r="2" spans="2:19" ht="15.75" customHeight="1">
      <c r="B2" s="28" t="s">
        <v>0</v>
      </c>
      <c r="C2" s="29" t="s">
        <v>1</v>
      </c>
      <c r="D2" s="28" t="s">
        <v>2</v>
      </c>
      <c r="E2" s="30" t="s">
        <v>3</v>
      </c>
      <c r="F2" s="30" t="s">
        <v>4</v>
      </c>
      <c r="G2" s="92" t="s">
        <v>5</v>
      </c>
      <c r="H2" s="93"/>
      <c r="I2" s="28" t="str">
        <f>IF(algoritmo!L4=1,"% Micro Serie","% Acerto")</f>
        <v>% Acerto</v>
      </c>
      <c r="J2" s="28" t="str">
        <f>IF(algoritmo!L4=1,"Riparti Qui","Erros aceitos")</f>
        <v>Erros aceitos</v>
      </c>
      <c r="K2" s="47" t="e">
        <f>IF(#REF!="Progressivo","€➔Prelievo","Ever")</f>
        <v>#REF!</v>
      </c>
      <c r="L2" s="48" t="e">
        <f>IF(#REF!="Progressivo","Prelievo","Green")</f>
        <v>#REF!</v>
      </c>
      <c r="N2" s="26"/>
      <c r="O2" s="26"/>
      <c r="P2" s="26"/>
      <c r="Q2" s="26"/>
      <c r="R2" s="26"/>
      <c r="S2" s="26"/>
    </row>
    <row r="3" spans="2:19" ht="15.75" customHeight="1">
      <c r="B3" s="31"/>
      <c r="C3" s="32">
        <v>1</v>
      </c>
      <c r="D3" s="32" t="s">
        <v>6</v>
      </c>
      <c r="E3" s="33">
        <f>IFERROR(algoritmo!C3,"")</f>
        <v>9.9999999999999645</v>
      </c>
      <c r="F3" s="33">
        <f>IFERROR(IF(algoritmo!D3=0,-E3,algoritmo!D3),"")</f>
        <v>9.9999999999999645</v>
      </c>
      <c r="G3" s="34">
        <f>IFERROR(algoritmo!F3,"")</f>
        <v>209.99999999999997</v>
      </c>
      <c r="H3" s="35" t="str">
        <f t="shared" ref="H3:H102" si="0">IF(J3="◄◄","↑","")</f>
        <v/>
      </c>
      <c r="I3" s="49">
        <f>IFERROR(algoritmo!J3,"")</f>
        <v>1</v>
      </c>
      <c r="J3" s="50" t="str">
        <f>IF(G3="","",IF(algoritmo!$L$4=1,IF(algoritmo!F3&gt;=algoritmo!G2,"◄◄",""),IF(algoritmo!I2+algoritmo!B3=$O$14,"Ciclo com Lucro",IF(algoritmo!H3=$O$13-$O$14+1,"Ciclo com Perda",""&amp;($O$13-$O$14-algoritmo!H3)&amp;""))))</f>
        <v>5</v>
      </c>
      <c r="K3" s="51" t="e">
        <f>IF(#REF!="Progressivo",algoritmo!E3,"")</f>
        <v>#REF!</v>
      </c>
      <c r="L3" s="52" t="e">
        <f>IF(#REF!="Progressivo",IF(K3="","",K3),"")</f>
        <v>#REF!</v>
      </c>
      <c r="N3" s="26"/>
      <c r="O3" s="26"/>
      <c r="P3" s="26"/>
      <c r="Q3" s="26"/>
      <c r="R3" s="26"/>
      <c r="S3" s="26"/>
    </row>
    <row r="4" spans="2:19" ht="15.75" customHeight="1">
      <c r="B4" s="36"/>
      <c r="C4" s="37">
        <f t="shared" ref="C4:C102" si="1">IF(C3&lt;$O$13,C3+1,IF(D3=""," ",C3+1))</f>
        <v>2</v>
      </c>
      <c r="D4" s="37" t="s">
        <v>7</v>
      </c>
      <c r="E4" s="38">
        <f>IFERROR(algoritmo!C4,"")</f>
        <v>3.333333333333321</v>
      </c>
      <c r="F4" s="38">
        <f>IFERROR(IF(algoritmo!D4=0,-E4,algoritmo!D4),"")</f>
        <v>-3.333333333333321</v>
      </c>
      <c r="G4" s="39">
        <f>IFERROR(algoritmo!F4,"")</f>
        <v>206.66666666666666</v>
      </c>
      <c r="H4" s="40" t="str">
        <f t="shared" si="0"/>
        <v/>
      </c>
      <c r="I4" s="53">
        <f>IFERROR(algoritmo!J4,"")</f>
        <v>0.5</v>
      </c>
      <c r="J4" s="54" t="str">
        <f>IF(G4="","",IF(algoritmo!$L$4=1,IF(algoritmo!F4&gt;=algoritmo!G3,"◄◄",""),IF(algoritmo!I3+algoritmo!B4=$O$14,"Ciclo com Lucro",IF(algoritmo!H4=$O$13-$O$14+1,"Ciclo com Perda",""&amp;($O$13-$O$14-algoritmo!H4)&amp;""))))</f>
        <v>4</v>
      </c>
      <c r="K4" s="51" t="e">
        <f>IF(#REF!="Progressivo",algoritmo!E4,"")</f>
        <v>#REF!</v>
      </c>
      <c r="L4" s="52" t="e">
        <f>IF(#REF!="Progressivo",IF(K4="","",K4),"")</f>
        <v>#REF!</v>
      </c>
      <c r="N4" s="26"/>
      <c r="O4" s="26"/>
      <c r="P4" s="26"/>
      <c r="Q4" s="26"/>
      <c r="R4" s="26"/>
      <c r="S4" s="26"/>
    </row>
    <row r="5" spans="2:19" ht="15.75" customHeight="1">
      <c r="B5" s="41"/>
      <c r="C5" s="42">
        <f t="shared" si="1"/>
        <v>3</v>
      </c>
      <c r="D5" s="42"/>
      <c r="E5" s="43">
        <f>IFERROR(algoritmo!C5,"")</f>
        <v>6.6666666666666377</v>
      </c>
      <c r="F5" s="43" t="str">
        <f>IFERROR(IF(algoritmo!D5=0,-E5,algoritmo!D5),"")</f>
        <v/>
      </c>
      <c r="G5" s="44" t="str">
        <f>IFERROR(algoritmo!F5,"")</f>
        <v/>
      </c>
      <c r="H5" s="45" t="str">
        <f t="shared" si="0"/>
        <v/>
      </c>
      <c r="I5" s="55" t="str">
        <f>IFERROR(algoritmo!J5,"")</f>
        <v/>
      </c>
      <c r="J5" s="56" t="str">
        <f>IF(G5="","",IF(algoritmo!$L$4=1,IF(algoritmo!F5&gt;=algoritmo!G4,"◄◄",""),IF(algoritmo!I4+algoritmo!B5=$O$14,"Ciclo com Lucro",IF(algoritmo!H5=$O$13-$O$14+1,"Ciclo com Perda"," "&amp;($O$13-$O$14-algoritmo!H5)&amp;""))))</f>
        <v/>
      </c>
      <c r="K5" s="51" t="e">
        <f>IF(#REF!="Progressivo",algoritmo!E5,"")</f>
        <v>#REF!</v>
      </c>
      <c r="L5" s="52" t="e">
        <f>IF(#REF!="Progressivo",IF(K5="","",K5),"")</f>
        <v>#REF!</v>
      </c>
      <c r="N5" s="26"/>
      <c r="O5" s="26"/>
      <c r="P5" s="26"/>
      <c r="Q5" s="26"/>
      <c r="R5" s="26"/>
      <c r="S5" s="26"/>
    </row>
    <row r="6" spans="2:19" ht="15.75" customHeight="1">
      <c r="B6" s="36"/>
      <c r="C6" s="37">
        <f t="shared" si="1"/>
        <v>4</v>
      </c>
      <c r="D6" s="37"/>
      <c r="E6" s="38" t="str">
        <f>IFERROR(algoritmo!C6,"")</f>
        <v/>
      </c>
      <c r="F6" s="38" t="str">
        <f>IFERROR(IF(algoritmo!D6=0,-E6,algoritmo!D6),"")</f>
        <v/>
      </c>
      <c r="G6" s="39" t="str">
        <f>IFERROR(algoritmo!F6,"")</f>
        <v/>
      </c>
      <c r="H6" s="40" t="str">
        <f t="shared" si="0"/>
        <v/>
      </c>
      <c r="I6" s="53" t="str">
        <f>IFERROR(algoritmo!J6,"")</f>
        <v/>
      </c>
      <c r="J6" s="54" t="str">
        <f>IF(G6="","",IF(algoritmo!$L$4=1,IF(algoritmo!F6&gt;=algoritmo!G5,"◄◄",""),IF(algoritmo!I5+algoritmo!B6=$O$14,"Ciclo com Lucro",IF(algoritmo!H6=$O$13-$O$14+1,"Ciclo com Perda"," "&amp;($O$13-$O$14-algoritmo!H6)&amp;""))))</f>
        <v/>
      </c>
      <c r="K6" s="51" t="e">
        <f>IF(#REF!="Progressivo",algoritmo!E6,"")</f>
        <v>#REF!</v>
      </c>
      <c r="L6" s="52" t="e">
        <f>IF(#REF!="Progressivo",IF(K6="","",K6),"")</f>
        <v>#REF!</v>
      </c>
      <c r="N6" s="26"/>
      <c r="O6" s="26"/>
      <c r="P6" s="26"/>
      <c r="Q6" s="26"/>
      <c r="R6" s="26"/>
      <c r="S6" s="26"/>
    </row>
    <row r="7" spans="2:19" ht="15.75" customHeight="1">
      <c r="B7" s="41"/>
      <c r="C7" s="42">
        <f t="shared" si="1"/>
        <v>5</v>
      </c>
      <c r="D7" s="42"/>
      <c r="E7" s="43" t="str">
        <f>IFERROR(algoritmo!C7,"")</f>
        <v/>
      </c>
      <c r="F7" s="43" t="str">
        <f>IFERROR(IF(algoritmo!D7=0,-E7,algoritmo!D7),"")</f>
        <v/>
      </c>
      <c r="G7" s="44" t="str">
        <f>IFERROR(algoritmo!F7,"")</f>
        <v/>
      </c>
      <c r="H7" s="45" t="str">
        <f t="shared" si="0"/>
        <v/>
      </c>
      <c r="I7" s="55" t="str">
        <f>IFERROR(algoritmo!J7,"")</f>
        <v/>
      </c>
      <c r="J7" s="56" t="str">
        <f>IF(G7="","",IF(algoritmo!$L$4=1,IF(algoritmo!F7&gt;=algoritmo!G6,"◄◄",""),IF(algoritmo!I6+algoritmo!B7=$O$14,"Ciclo com Lucro",IF(algoritmo!H7=$O$13-$O$14+1,"Ciclo com Perda"," "&amp;($O$13-$O$14-algoritmo!H7)&amp;""))))</f>
        <v/>
      </c>
      <c r="K7" s="51" t="e">
        <f>IF(#REF!="Progressivo",algoritmo!E7,"")</f>
        <v>#REF!</v>
      </c>
      <c r="L7" s="52" t="e">
        <f>IF(#REF!="Progressivo",IF(K7="","",K7),"")</f>
        <v>#REF!</v>
      </c>
      <c r="N7" s="26"/>
      <c r="O7" s="26"/>
      <c r="P7" s="26"/>
      <c r="Q7" s="26"/>
      <c r="R7" s="26"/>
      <c r="S7" s="26"/>
    </row>
    <row r="8" spans="2:19" ht="15.75" customHeight="1">
      <c r="B8" s="36"/>
      <c r="C8" s="37">
        <f t="shared" si="1"/>
        <v>6</v>
      </c>
      <c r="D8" s="37"/>
      <c r="E8" s="38" t="str">
        <f>IFERROR(algoritmo!C8,"")</f>
        <v/>
      </c>
      <c r="F8" s="38" t="str">
        <f>IFERROR(IF(algoritmo!D8=0,-E8,algoritmo!D8),"")</f>
        <v/>
      </c>
      <c r="G8" s="39" t="str">
        <f>IFERROR(algoritmo!F8,"")</f>
        <v/>
      </c>
      <c r="H8" s="40" t="str">
        <f t="shared" si="0"/>
        <v/>
      </c>
      <c r="I8" s="53" t="str">
        <f>IFERROR(algoritmo!J8,"")</f>
        <v/>
      </c>
      <c r="J8" s="54" t="str">
        <f>IF(G8="","",IF(algoritmo!$L$4=1,IF(algoritmo!F8&gt;=algoritmo!G7,"◄◄",""),IF(algoritmo!I7+algoritmo!B8=$O$14,"Ciclo com Lucro",IF(algoritmo!H8=$O$13-$O$14+1,"Ciclo com Perda"," "&amp;($O$13-$O$14-algoritmo!H8)&amp;""))))</f>
        <v/>
      </c>
      <c r="K8" s="51" t="e">
        <f>IF(#REF!="Progressivo",algoritmo!E8,"")</f>
        <v>#REF!</v>
      </c>
      <c r="L8" s="52" t="e">
        <f>IF(#REF!="Progressivo",IF(K8="","",K8),"")</f>
        <v>#REF!</v>
      </c>
      <c r="N8" s="26"/>
      <c r="O8" s="26"/>
      <c r="P8" s="26"/>
      <c r="Q8" s="26"/>
      <c r="R8" s="26"/>
      <c r="S8" s="26"/>
    </row>
    <row r="9" spans="2:19" ht="15.75" customHeight="1">
      <c r="B9" s="41"/>
      <c r="C9" s="42">
        <f t="shared" si="1"/>
        <v>7</v>
      </c>
      <c r="D9" s="42"/>
      <c r="E9" s="43" t="str">
        <f>IFERROR(algoritmo!C9,"")</f>
        <v/>
      </c>
      <c r="F9" s="43" t="str">
        <f>IFERROR(IF(algoritmo!D9=0,-E9,algoritmo!D9),"")</f>
        <v/>
      </c>
      <c r="G9" s="44" t="str">
        <f>IFERROR(algoritmo!F9,"")</f>
        <v/>
      </c>
      <c r="H9" s="45" t="str">
        <f t="shared" si="0"/>
        <v/>
      </c>
      <c r="I9" s="55" t="str">
        <f>IFERROR(algoritmo!J9,"")</f>
        <v/>
      </c>
      <c r="J9" s="56" t="str">
        <f>IF(G9="","",IF(algoritmo!$L$4=1,IF(algoritmo!F9&gt;=algoritmo!G8,"◄◄",""),IF(algoritmo!I8+algoritmo!B9=$O$14,"Ciclo com Lucro",IF(algoritmo!H9=$O$13-$O$14+1,"Ciclo com Perda"," "&amp;($O$13-$O$14-algoritmo!H9)&amp;""))))</f>
        <v/>
      </c>
      <c r="K9" s="51" t="e">
        <f>IF(#REF!="Progressivo",algoritmo!E9,"")</f>
        <v>#REF!</v>
      </c>
      <c r="L9" s="52" t="e">
        <f>IF(#REF!="Progressivo",IF(K9="","",K9),"")</f>
        <v>#REF!</v>
      </c>
      <c r="N9" s="97" t="s">
        <v>8</v>
      </c>
      <c r="O9" s="98"/>
      <c r="P9" s="99"/>
      <c r="Q9" s="26"/>
      <c r="R9" s="26"/>
      <c r="S9" s="26"/>
    </row>
    <row r="10" spans="2:19" ht="15.75" customHeight="1">
      <c r="B10" s="36"/>
      <c r="C10" s="37" t="str">
        <f t="shared" si="1"/>
        <v/>
      </c>
      <c r="D10" s="37"/>
      <c r="E10" s="38" t="str">
        <f>IFERROR(algoritmo!C10,"")</f>
        <v/>
      </c>
      <c r="F10" s="38" t="str">
        <f>IFERROR(IF(algoritmo!D10=0,-E10,algoritmo!D10),"")</f>
        <v/>
      </c>
      <c r="G10" s="39" t="str">
        <f>IFERROR(algoritmo!F10,"")</f>
        <v/>
      </c>
      <c r="H10" s="40" t="str">
        <f t="shared" si="0"/>
        <v/>
      </c>
      <c r="I10" s="53" t="str">
        <f>IFERROR(algoritmo!J10,"")</f>
        <v/>
      </c>
      <c r="J10" s="54" t="str">
        <f>IF(G10="","",IF(algoritmo!$L$4=1,IF(algoritmo!F10&gt;=algoritmo!G9,"◄◄",""),IF(algoritmo!I9+algoritmo!B10=$O$14,"Ciclo com Lucro",IF(algoritmo!H10=$O$13-$O$14+1,"Ciclo com Perda"," "&amp;($O$13-$O$14-algoritmo!H10)&amp;""))))</f>
        <v/>
      </c>
      <c r="K10" s="51" t="e">
        <f>IF(#REF!="Progressivo",algoritmo!E10,"")</f>
        <v>#REF!</v>
      </c>
      <c r="L10" s="52" t="e">
        <f>IF(#REF!="Progressivo",IF(K10="","",K10),"")</f>
        <v>#REF!</v>
      </c>
      <c r="N10" s="100"/>
      <c r="O10" s="101"/>
      <c r="P10" s="102"/>
      <c r="Q10" s="26"/>
      <c r="R10" s="26"/>
      <c r="S10" s="26"/>
    </row>
    <row r="11" spans="2:19" ht="15.75" customHeight="1">
      <c r="B11" s="41"/>
      <c r="C11" s="42" t="str">
        <f t="shared" si="1"/>
        <v/>
      </c>
      <c r="D11" s="42"/>
      <c r="E11" s="43" t="str">
        <f>IFERROR(algoritmo!C11,"")</f>
        <v/>
      </c>
      <c r="F11" s="43" t="str">
        <f>IFERROR(IF(algoritmo!D11=0,-E11,algoritmo!D11),"")</f>
        <v/>
      </c>
      <c r="G11" s="44" t="str">
        <f>IFERROR(algoritmo!F11,"")</f>
        <v/>
      </c>
      <c r="H11" s="45" t="str">
        <f t="shared" si="0"/>
        <v/>
      </c>
      <c r="I11" s="55" t="str">
        <f>IFERROR(algoritmo!J11,"")</f>
        <v/>
      </c>
      <c r="J11" s="56" t="str">
        <f>IF(G11="","",IF(algoritmo!$L$4=1,IF(algoritmo!F11&gt;=algoritmo!G10,"◄◄",""),IF(algoritmo!I10+algoritmo!B11=$O$14,"Ciclo com Lucro",IF(algoritmo!H11=$O$13-$O$14+1,"Ciclo com Perda"," "&amp;($O$13-$O$14-algoritmo!H11)&amp;""))))</f>
        <v/>
      </c>
      <c r="K11" s="51" t="e">
        <f>IF(#REF!="Progressivo",algoritmo!E11,"")</f>
        <v>#REF!</v>
      </c>
      <c r="L11" s="52" t="e">
        <f>IF(#REF!="Progressivo",IF(K11="","",K11),"")</f>
        <v>#REF!</v>
      </c>
      <c r="N11" s="94" t="s">
        <v>9</v>
      </c>
      <c r="O11" s="95"/>
      <c r="P11" s="96"/>
      <c r="Q11" s="26"/>
      <c r="R11" s="26"/>
      <c r="S11" s="26"/>
    </row>
    <row r="12" spans="2:19" ht="15.75" customHeight="1">
      <c r="B12" s="36"/>
      <c r="C12" s="37" t="str">
        <f t="shared" si="1"/>
        <v/>
      </c>
      <c r="D12" s="37"/>
      <c r="E12" s="38" t="str">
        <f>IFERROR(algoritmo!C12,"")</f>
        <v/>
      </c>
      <c r="F12" s="38" t="str">
        <f>IFERROR(IF(algoritmo!D12=0,-E12,algoritmo!D12),"")</f>
        <v/>
      </c>
      <c r="G12" s="39" t="str">
        <f>IFERROR(algoritmo!F12,"")</f>
        <v/>
      </c>
      <c r="H12" s="40" t="str">
        <f t="shared" si="0"/>
        <v/>
      </c>
      <c r="I12" s="53" t="str">
        <f>IFERROR(algoritmo!J12,"")</f>
        <v/>
      </c>
      <c r="J12" s="54" t="str">
        <f>IF(G12="","",IF(algoritmo!$L$4=1,IF(algoritmo!F12&gt;=algoritmo!G11,"◄◄",""),IF(algoritmo!I11+algoritmo!B12=$O$14,"Ciclo com Lucro",IF(algoritmo!H12=$O$13-$O$14+1,"Ciclo com Perda"," "&amp;($O$13-$O$14-algoritmo!H12)&amp;""))))</f>
        <v/>
      </c>
      <c r="K12" s="51" t="e">
        <f>IF(#REF!="Progressivo",algoritmo!E12,"")</f>
        <v>#REF!</v>
      </c>
      <c r="L12" s="52" t="e">
        <f>IF(#REF!="Progressivo",IF(K12="","",K12),"")</f>
        <v>#REF!</v>
      </c>
      <c r="N12" s="57" t="s">
        <v>10</v>
      </c>
      <c r="O12" s="43">
        <v>200</v>
      </c>
      <c r="P12" s="56"/>
      <c r="Q12" s="26"/>
      <c r="R12" s="26"/>
      <c r="S12" s="26"/>
    </row>
    <row r="13" spans="2:19" ht="15.75" customHeight="1">
      <c r="B13" s="41"/>
      <c r="C13" s="42" t="str">
        <f t="shared" si="1"/>
        <v/>
      </c>
      <c r="D13" s="42"/>
      <c r="E13" s="43" t="str">
        <f>IFERROR(algoritmo!C13,"")</f>
        <v/>
      </c>
      <c r="F13" s="43" t="str">
        <f>IFERROR(IF(algoritmo!D13=0,-E13,algoritmo!D13),"")</f>
        <v/>
      </c>
      <c r="G13" s="44" t="str">
        <f>IFERROR(algoritmo!F13,"")</f>
        <v/>
      </c>
      <c r="H13" s="45" t="str">
        <f t="shared" si="0"/>
        <v/>
      </c>
      <c r="I13" s="55" t="str">
        <f>IFERROR(algoritmo!J13,"")</f>
        <v/>
      </c>
      <c r="J13" s="56" t="str">
        <f>IF(G13="","",IF(algoritmo!$L$4=1,IF(algoritmo!F13&gt;=algoritmo!G12,"◄◄",""),IF(algoritmo!I12+algoritmo!B13=$O$14,"Ciclo com Lucro",IF(algoritmo!H13=$O$13-$O$14+1,"Ciclo com Perda"," "&amp;($O$13-$O$14-algoritmo!H13)&amp;""))))</f>
        <v/>
      </c>
      <c r="K13" s="51" t="e">
        <f>IF(#REF!="Progressivo",algoritmo!E13,"")</f>
        <v>#REF!</v>
      </c>
      <c r="L13" s="52" t="e">
        <f>IF(#REF!="Progressivo",IF(K13="","",K13),"")</f>
        <v>#REF!</v>
      </c>
      <c r="N13" s="58" t="s">
        <v>11</v>
      </c>
      <c r="O13" s="59">
        <v>7</v>
      </c>
      <c r="P13" s="60"/>
      <c r="Q13" s="26"/>
      <c r="R13" s="26"/>
      <c r="S13" s="26"/>
    </row>
    <row r="14" spans="2:19" ht="15.75" customHeight="1">
      <c r="B14" s="36"/>
      <c r="C14" s="37" t="str">
        <f t="shared" si="1"/>
        <v/>
      </c>
      <c r="D14" s="37"/>
      <c r="E14" s="38" t="str">
        <f>IFERROR(algoritmo!C14,"")</f>
        <v/>
      </c>
      <c r="F14" s="38" t="str">
        <f>IFERROR(IF(algoritmo!D14=0,-E14,algoritmo!D14),"")</f>
        <v/>
      </c>
      <c r="G14" s="39" t="str">
        <f>IFERROR(algoritmo!F14,"")</f>
        <v/>
      </c>
      <c r="H14" s="40" t="str">
        <f t="shared" si="0"/>
        <v/>
      </c>
      <c r="I14" s="53" t="str">
        <f>IFERROR(algoritmo!J14,"")</f>
        <v/>
      </c>
      <c r="J14" s="54" t="str">
        <f>IF(G14="","",IF(algoritmo!$L$4=1,IF(algoritmo!F14&gt;=algoritmo!G13,"◄◄",""),IF(algoritmo!I13+algoritmo!B14=$O$14,"Ciclo com Lucro",IF(algoritmo!H14=$O$13-$O$14+1,"Ciclo com Perda"," "&amp;($O$13-$O$14-algoritmo!H14)&amp;""))))</f>
        <v/>
      </c>
      <c r="K14" s="51" t="e">
        <f>IF(#REF!="Progressivo",algoritmo!E14,"")</f>
        <v>#REF!</v>
      </c>
      <c r="L14" s="52" t="e">
        <f>IF(#REF!="Progressivo",IF(K14="","",K14),"")</f>
        <v>#REF!</v>
      </c>
      <c r="N14" s="61" t="s">
        <v>12</v>
      </c>
      <c r="O14" s="62">
        <v>2</v>
      </c>
      <c r="P14" s="63">
        <f>O14/O13</f>
        <v>0.28571428571428598</v>
      </c>
      <c r="Q14" s="26"/>
      <c r="R14" s="26"/>
      <c r="S14" s="26"/>
    </row>
    <row r="15" spans="2:19" ht="15.75" customHeight="1">
      <c r="B15" s="41"/>
      <c r="C15" s="42" t="str">
        <f t="shared" si="1"/>
        <v/>
      </c>
      <c r="D15" s="42"/>
      <c r="E15" s="43" t="str">
        <f>IFERROR(algoritmo!C15,"")</f>
        <v/>
      </c>
      <c r="F15" s="43" t="str">
        <f>IFERROR(IF(algoritmo!D15=0,-E15,algoritmo!D15),"")</f>
        <v/>
      </c>
      <c r="G15" s="44" t="str">
        <f>IFERROR(algoritmo!F15,"")</f>
        <v/>
      </c>
      <c r="H15" s="45" t="str">
        <f t="shared" si="0"/>
        <v/>
      </c>
      <c r="I15" s="55" t="str">
        <f>IFERROR(algoritmo!J15,"")</f>
        <v/>
      </c>
      <c r="J15" s="56" t="str">
        <f>IF(G15="","",IF(algoritmo!$L$4=1,IF(algoritmo!F15&gt;=algoritmo!G14,"◄◄",""),IF(algoritmo!I14+algoritmo!B15=$O$14,"Ciclo com Lucro",IF(algoritmo!H15=$O$13-$O$14+1,"Ciclo com Perda"," "&amp;($O$13-$O$14-algoritmo!H15)&amp;""))))</f>
        <v/>
      </c>
      <c r="K15" s="51" t="e">
        <f>IF(#REF!="Progressivo",algoritmo!E15,"")</f>
        <v>#REF!</v>
      </c>
      <c r="L15" s="52" t="e">
        <f>IF(#REF!="Progressivo",IF(K15="","",K15),"")</f>
        <v>#REF!</v>
      </c>
      <c r="N15" s="58" t="s">
        <v>13</v>
      </c>
      <c r="O15" s="38">
        <v>2</v>
      </c>
      <c r="P15" s="60"/>
      <c r="Q15" s="26"/>
      <c r="R15" s="26"/>
      <c r="S15" s="26"/>
    </row>
    <row r="16" spans="2:19" ht="15.75" customHeight="1">
      <c r="B16" s="36"/>
      <c r="C16" s="37" t="str">
        <f t="shared" si="1"/>
        <v/>
      </c>
      <c r="D16" s="37"/>
      <c r="E16" s="38" t="str">
        <f>IFERROR(algoritmo!C16,"")</f>
        <v/>
      </c>
      <c r="F16" s="38" t="str">
        <f>IFERROR(IF(algoritmo!D16=0,-E16,algoritmo!D16),"")</f>
        <v/>
      </c>
      <c r="G16" s="39" t="str">
        <f>IFERROR(algoritmo!F16,"")</f>
        <v/>
      </c>
      <c r="H16" s="40" t="str">
        <f t="shared" si="0"/>
        <v/>
      </c>
      <c r="I16" s="53" t="str">
        <f>IFERROR(algoritmo!J16,"")</f>
        <v/>
      </c>
      <c r="J16" s="54" t="str">
        <f>IF(G16="","",IF(algoritmo!$L$4=1,IF(algoritmo!F16&gt;=algoritmo!G15,"◄◄",""),IF(algoritmo!I15+algoritmo!B16=$O$14,"Ciclo com Lucro",IF(algoritmo!H16=$O$13-$O$14+1,"Ciclo com Perda"," "&amp;($O$13-$O$14-algoritmo!H16)&amp;""))))</f>
        <v/>
      </c>
      <c r="K16" s="51" t="e">
        <f>IF(#REF!="Progressivo",algoritmo!E16,"")</f>
        <v>#REF!</v>
      </c>
      <c r="L16" s="52" t="e">
        <f>IF(#REF!="Progressivo",IF(K16="","",K16),"")</f>
        <v>#REF!</v>
      </c>
      <c r="N16" s="64" t="s">
        <v>14</v>
      </c>
      <c r="O16" s="65" t="s">
        <v>15</v>
      </c>
      <c r="P16" s="66"/>
      <c r="Q16" s="26"/>
      <c r="R16" s="26"/>
      <c r="S16" s="26"/>
    </row>
    <row r="17" spans="2:19" ht="15.75" customHeight="1">
      <c r="B17" s="41"/>
      <c r="C17" s="42" t="str">
        <f t="shared" si="1"/>
        <v/>
      </c>
      <c r="D17" s="42"/>
      <c r="E17" s="43" t="str">
        <f>IFERROR(algoritmo!C17,"")</f>
        <v/>
      </c>
      <c r="F17" s="43" t="str">
        <f>IFERROR(IF(algoritmo!D17=0,-E17,algoritmo!D17),"")</f>
        <v/>
      </c>
      <c r="G17" s="44" t="str">
        <f>IFERROR(algoritmo!F17,"")</f>
        <v/>
      </c>
      <c r="H17" s="45" t="str">
        <f t="shared" si="0"/>
        <v/>
      </c>
      <c r="I17" s="55" t="str">
        <f>IFERROR(algoritmo!J17,"")</f>
        <v/>
      </c>
      <c r="J17" s="56" t="str">
        <f>IF(G17="","",IF(algoritmo!$L$4=1,IF(algoritmo!F17&gt;=algoritmo!G16,"◄◄",""),IF(algoritmo!I16+algoritmo!B17=$O$14,"Ciclo com Lucro",IF(algoritmo!H17=$O$13-$O$14+1,"Ciclo com Perda"," "&amp;($O$13-$O$14-algoritmo!H17)&amp;""))))</f>
        <v/>
      </c>
      <c r="K17" s="51" t="e">
        <f>IF(#REF!="Progressivo",algoritmo!E17,"")</f>
        <v>#REF!</v>
      </c>
      <c r="L17" s="52" t="e">
        <f>IF(#REF!="Progressivo",IF(K17="","",K17),"")</f>
        <v>#REF!</v>
      </c>
      <c r="N17" s="26"/>
      <c r="O17" s="26"/>
      <c r="P17" s="26"/>
      <c r="Q17" s="26"/>
      <c r="R17" s="26"/>
      <c r="S17" s="26"/>
    </row>
    <row r="18" spans="2:19" ht="15.75" customHeight="1">
      <c r="B18" s="36"/>
      <c r="C18" s="37" t="str">
        <f t="shared" si="1"/>
        <v/>
      </c>
      <c r="D18" s="37"/>
      <c r="E18" s="38" t="str">
        <f>IFERROR(algoritmo!C18,"")</f>
        <v/>
      </c>
      <c r="F18" s="38" t="str">
        <f>IFERROR(IF(algoritmo!D18=0,-E18,algoritmo!D18),"")</f>
        <v/>
      </c>
      <c r="G18" s="39" t="str">
        <f>IFERROR(algoritmo!F18,"")</f>
        <v/>
      </c>
      <c r="H18" s="40" t="str">
        <f t="shared" si="0"/>
        <v/>
      </c>
      <c r="I18" s="53" t="str">
        <f>IFERROR(algoritmo!J18,"")</f>
        <v/>
      </c>
      <c r="J18" s="54" t="str">
        <f>IF(G18="","",IF(algoritmo!$L$4=1,IF(algoritmo!F18&gt;=algoritmo!G17,"◄◄",""),IF(algoritmo!I17+algoritmo!B18=$O$14,"Ciclo com Lucro",IF(algoritmo!H18=$O$13-$O$14+1,"Ciclo com Perda"," "&amp;($O$13-$O$14-algoritmo!H18)&amp;""))))</f>
        <v/>
      </c>
      <c r="K18" s="51" t="e">
        <f>IF(#REF!="Progressivo",algoritmo!E18,"")</f>
        <v>#REF!</v>
      </c>
      <c r="L18" s="52" t="e">
        <f>IF(#REF!="Progressivo",IF(K18="","",K18),"")</f>
        <v>#REF!</v>
      </c>
      <c r="N18" s="94" t="s">
        <v>16</v>
      </c>
      <c r="O18" s="95"/>
      <c r="P18" s="96"/>
      <c r="Q18" s="26"/>
      <c r="R18" s="26"/>
      <c r="S18" s="26"/>
    </row>
    <row r="19" spans="2:19" ht="15.75" customHeight="1">
      <c r="B19" s="41"/>
      <c r="C19" s="42" t="str">
        <f t="shared" si="1"/>
        <v/>
      </c>
      <c r="D19" s="42"/>
      <c r="E19" s="43" t="str">
        <f>IFERROR(algoritmo!C19,"")</f>
        <v/>
      </c>
      <c r="F19" s="43" t="str">
        <f>IFERROR(IF(algoritmo!D19=0,-E19,algoritmo!D19),"")</f>
        <v/>
      </c>
      <c r="G19" s="44" t="str">
        <f>IFERROR(algoritmo!F19,"")</f>
        <v/>
      </c>
      <c r="H19" s="45" t="str">
        <f t="shared" si="0"/>
        <v/>
      </c>
      <c r="I19" s="55" t="str">
        <f>IFERROR(algoritmo!J19,"")</f>
        <v/>
      </c>
      <c r="J19" s="56" t="str">
        <f>IF(G19="","",IF(algoritmo!$L$4=1,IF(algoritmo!F19&gt;=algoritmo!G18,"◄◄",""),IF(algoritmo!I18+algoritmo!B19=$O$14,"Ciclo com Lucro",IF(algoritmo!H19=$O$13-$O$14+1,"Ciclo com Perda"," "&amp;($O$13-$O$14-algoritmo!H19)&amp;""))))</f>
        <v/>
      </c>
      <c r="K19" s="51" t="e">
        <f>IF(#REF!="Progressivo",algoritmo!E19,"")</f>
        <v>#REF!</v>
      </c>
      <c r="L19" s="52" t="e">
        <f>IF(#REF!="Progressivo",IF(K19="","",K19),"")</f>
        <v>#REF!</v>
      </c>
      <c r="N19" s="57" t="s">
        <v>17</v>
      </c>
      <c r="O19" s="67">
        <f>O12*(1+O20)^(1+COUNTIF(J3:J102,"hai vinto"))</f>
        <v>213.33333333333337</v>
      </c>
      <c r="P19" s="56"/>
      <c r="Q19" s="26"/>
      <c r="R19" s="26"/>
      <c r="S19" s="26"/>
    </row>
    <row r="20" spans="2:19" ht="15.75" customHeight="1">
      <c r="B20" s="36"/>
      <c r="C20" s="37" t="str">
        <f t="shared" si="1"/>
        <v/>
      </c>
      <c r="D20" s="37"/>
      <c r="E20" s="38" t="str">
        <f>IFERROR(algoritmo!C20,"")</f>
        <v/>
      </c>
      <c r="F20" s="38" t="str">
        <f>IFERROR(IF(algoritmo!D20=0,-E20,algoritmo!D20),"")</f>
        <v/>
      </c>
      <c r="G20" s="39" t="str">
        <f>IFERROR(algoritmo!F20,"")</f>
        <v/>
      </c>
      <c r="H20" s="40" t="str">
        <f t="shared" si="0"/>
        <v/>
      </c>
      <c r="I20" s="53" t="str">
        <f>IFERROR(algoritmo!J20,"")</f>
        <v/>
      </c>
      <c r="J20" s="54" t="str">
        <f>IF(G20="","",IF(algoritmo!$L$4=1,IF(algoritmo!F20&gt;=algoritmo!G19,"◄◄",""),IF(algoritmo!I19+algoritmo!B20=$O$14,"Ciclo com Lucro",IF(algoritmo!H20=$O$13-$O$14+1,"Ciclo com Perda"," "&amp;($O$13-$O$14-algoritmo!H20)&amp;""))))</f>
        <v/>
      </c>
      <c r="K20" s="51" t="e">
        <f>IF(#REF!="Progressivo",algoritmo!E20,"")</f>
        <v>#REF!</v>
      </c>
      <c r="L20" s="52" t="e">
        <f>IF(#REF!="Progressivo",IF(K20="","",K20),"")</f>
        <v>#REF!</v>
      </c>
      <c r="N20" s="58" t="s">
        <v>18</v>
      </c>
      <c r="O20" s="53">
        <f>algoritmo!$N$2-1</f>
        <v>6.6666666666666874E-2</v>
      </c>
      <c r="P20" s="60"/>
      <c r="Q20" s="26"/>
      <c r="R20" s="26"/>
      <c r="S20" s="26"/>
    </row>
    <row r="21" spans="2:19" ht="15.75" customHeight="1">
      <c r="B21" s="41"/>
      <c r="C21" s="42" t="str">
        <f t="shared" si="1"/>
        <v/>
      </c>
      <c r="D21" s="42"/>
      <c r="E21" s="43" t="str">
        <f>IFERROR(algoritmo!C21,"")</f>
        <v/>
      </c>
      <c r="F21" s="43" t="str">
        <f>IFERROR(IF(algoritmo!D21=0,-E21,algoritmo!D21),"")</f>
        <v/>
      </c>
      <c r="G21" s="44" t="str">
        <f>IFERROR(algoritmo!F21,"")</f>
        <v/>
      </c>
      <c r="H21" s="45" t="str">
        <f t="shared" si="0"/>
        <v/>
      </c>
      <c r="I21" s="55" t="str">
        <f>IFERROR(algoritmo!J21,"")</f>
        <v/>
      </c>
      <c r="J21" s="56" t="str">
        <f>IF(G21="","",IF(algoritmo!$L$4=1,IF(algoritmo!F21&gt;=algoritmo!G20,"◄◄",""),IF(algoritmo!I20+algoritmo!B21=$O$14,"Ciclo com Lucro",IF(algoritmo!H21=$O$13-$O$14+1,"Ciclo com Perda"," "&amp;($O$13-$O$14-algoritmo!H21)&amp;""))))</f>
        <v/>
      </c>
      <c r="K21" s="51" t="e">
        <f>IF(#REF!="Progressivo",algoritmo!E21,"")</f>
        <v>#REF!</v>
      </c>
      <c r="L21" s="52" t="e">
        <f>IF(#REF!="Progressivo",IF(K21="","",K21),"")</f>
        <v>#REF!</v>
      </c>
      <c r="N21" s="68" t="s">
        <v>19</v>
      </c>
      <c r="O21" s="69">
        <f>O19-O12</f>
        <v>13.333333333333371</v>
      </c>
      <c r="P21" s="70"/>
      <c r="Q21" s="26"/>
      <c r="R21" s="26"/>
      <c r="S21" s="26"/>
    </row>
    <row r="22" spans="2:19" ht="15.75" customHeight="1">
      <c r="B22" s="36"/>
      <c r="C22" s="37" t="str">
        <f t="shared" si="1"/>
        <v/>
      </c>
      <c r="D22" s="37"/>
      <c r="E22" s="38" t="str">
        <f>IFERROR(algoritmo!C22,"")</f>
        <v/>
      </c>
      <c r="F22" s="38" t="str">
        <f>IFERROR(IF(algoritmo!D22=0,-E22,algoritmo!D22),"")</f>
        <v/>
      </c>
      <c r="G22" s="39" t="str">
        <f>IFERROR(algoritmo!F22,"")</f>
        <v/>
      </c>
      <c r="H22" s="40" t="str">
        <f t="shared" si="0"/>
        <v/>
      </c>
      <c r="I22" s="53" t="str">
        <f>IFERROR(algoritmo!J22,"")</f>
        <v/>
      </c>
      <c r="J22" s="54" t="str">
        <f>IF(G22="","",IF(algoritmo!$L$4=1,IF(algoritmo!F22&gt;=algoritmo!G21,"◄◄",""),IF(algoritmo!I21+algoritmo!B22=$O$14,"Ciclo com Lucro",IF(algoritmo!H22=$O$13-$O$14+1,"Ciclo com Perda"," "&amp;($O$13-$O$14-algoritmo!H22)&amp;""))))</f>
        <v/>
      </c>
      <c r="K22" s="51" t="e">
        <f>IF(#REF!="Progressivo",algoritmo!E22,"")</f>
        <v>#REF!</v>
      </c>
      <c r="L22" s="52" t="e">
        <f>IF(#REF!="Progressivo",IF(K22="","",K22),"")</f>
        <v>#REF!</v>
      </c>
      <c r="N22" s="26"/>
      <c r="O22" s="26"/>
      <c r="P22" s="26"/>
      <c r="Q22" s="26"/>
      <c r="R22" s="26"/>
      <c r="S22" s="26"/>
    </row>
    <row r="23" spans="2:19" ht="15.75" customHeight="1">
      <c r="B23" s="41"/>
      <c r="C23" s="42" t="str">
        <f t="shared" si="1"/>
        <v/>
      </c>
      <c r="D23" s="42"/>
      <c r="E23" s="43" t="str">
        <f>IFERROR(algoritmo!C23,"")</f>
        <v/>
      </c>
      <c r="F23" s="43" t="str">
        <f>IFERROR(IF(algoritmo!D23=0,-E23,algoritmo!D23),"")</f>
        <v/>
      </c>
      <c r="G23" s="44" t="str">
        <f>IFERROR(algoritmo!F23,"")</f>
        <v/>
      </c>
      <c r="H23" s="45" t="str">
        <f t="shared" si="0"/>
        <v/>
      </c>
      <c r="I23" s="55" t="str">
        <f>IFERROR(algoritmo!J23,"")</f>
        <v/>
      </c>
      <c r="J23" s="56" t="str">
        <f>IF(G23="","",IF(algoritmo!$L$4=1,IF(algoritmo!F23&gt;=algoritmo!G22,"◄◄",""),IF(algoritmo!I22+algoritmo!B23=$O$14,"Ciclo com Lucro",IF(algoritmo!H23=$O$13-$O$14+1,"Ciclo com Perda"," "&amp;($O$13-$O$14-algoritmo!H23)&amp;""))))</f>
        <v/>
      </c>
      <c r="K23" s="51" t="e">
        <f>IF(#REF!="Progressivo",algoritmo!E23,"")</f>
        <v>#REF!</v>
      </c>
      <c r="L23" s="52" t="e">
        <f>IF(#REF!="Progressivo",IF(K23="","",K23),"")</f>
        <v>#REF!</v>
      </c>
      <c r="N23" s="94" t="s">
        <v>20</v>
      </c>
      <c r="O23" s="95"/>
      <c r="P23" s="96"/>
      <c r="Q23" s="26"/>
      <c r="R23" s="26"/>
      <c r="S23" s="26"/>
    </row>
    <row r="24" spans="2:19" ht="15.75" customHeight="1">
      <c r="B24" s="36"/>
      <c r="C24" s="37" t="str">
        <f t="shared" si="1"/>
        <v/>
      </c>
      <c r="D24" s="37"/>
      <c r="E24" s="38" t="str">
        <f>IFERROR(algoritmo!C24,"")</f>
        <v/>
      </c>
      <c r="F24" s="38" t="str">
        <f>IFERROR(IF(algoritmo!D24=0,-E24,algoritmo!D24),"")</f>
        <v/>
      </c>
      <c r="G24" s="39" t="str">
        <f>IFERROR(algoritmo!F24,"")</f>
        <v/>
      </c>
      <c r="H24" s="40" t="str">
        <f t="shared" si="0"/>
        <v/>
      </c>
      <c r="I24" s="53" t="str">
        <f>IFERROR(algoritmo!J24,"")</f>
        <v/>
      </c>
      <c r="J24" s="54" t="str">
        <f>IF(G24="","",IF(algoritmo!$L$4=1,IF(algoritmo!F24&gt;=algoritmo!G23,"◄◄",""),IF(algoritmo!I23+algoritmo!B24=$O$14,"Ciclo com Lucro",IF(algoritmo!H24=$O$13-$O$14+1,"Ciclo com Perda"," "&amp;($O$13-$O$14-algoritmo!H24)&amp;""))))</f>
        <v/>
      </c>
      <c r="K24" s="51" t="e">
        <f>IF(#REF!="Progressivo",algoritmo!E24,"")</f>
        <v>#REF!</v>
      </c>
      <c r="L24" s="52" t="e">
        <f>IF(#REF!="Progressivo",IF(K24="","",K24),"")</f>
        <v>#REF!</v>
      </c>
      <c r="N24" s="57" t="s">
        <v>21</v>
      </c>
      <c r="O24" s="71">
        <f>IFERROR(LOOKUP(2,1/(LEN(G3:G103)&gt;0),G3:G103),"")</f>
        <v>206.66666666666666</v>
      </c>
      <c r="P24" s="56"/>
      <c r="Q24" s="26"/>
      <c r="R24" s="26"/>
      <c r="S24" s="26"/>
    </row>
    <row r="25" spans="2:19" ht="15.75" customHeight="1">
      <c r="B25" s="41"/>
      <c r="C25" s="42" t="str">
        <f t="shared" si="1"/>
        <v/>
      </c>
      <c r="D25" s="42"/>
      <c r="E25" s="43" t="str">
        <f>IFERROR(algoritmo!C25,"")</f>
        <v/>
      </c>
      <c r="F25" s="43" t="str">
        <f>IFERROR(IF(algoritmo!D25=0,-E25,algoritmo!D25),"")</f>
        <v/>
      </c>
      <c r="G25" s="44" t="str">
        <f>IFERROR(algoritmo!F25,"")</f>
        <v/>
      </c>
      <c r="H25" s="45" t="str">
        <f t="shared" si="0"/>
        <v/>
      </c>
      <c r="I25" s="55" t="str">
        <f>IFERROR(algoritmo!J25,"")</f>
        <v/>
      </c>
      <c r="J25" s="56" t="str">
        <f>IF(G25="","",IF(algoritmo!$L$4=1,IF(algoritmo!F25&gt;=algoritmo!G24,"◄◄",""),IF(algoritmo!I24+algoritmo!B25=$O$14,"Ciclo com Lucro",IF(algoritmo!H25=$O$13-$O$14+1,"Ciclo com Perda"," "&amp;($O$13-$O$14-algoritmo!H25)&amp;""))))</f>
        <v/>
      </c>
      <c r="K25" s="51" t="e">
        <f>IF(#REF!="Progressivo",algoritmo!E25,"")</f>
        <v>#REF!</v>
      </c>
      <c r="L25" s="52" t="e">
        <f>IF(#REF!="Progressivo",IF(K25="","",K25),"")</f>
        <v>#REF!</v>
      </c>
      <c r="N25" s="72" t="s">
        <v>22</v>
      </c>
      <c r="O25" s="73">
        <f>IFERROR(O24-O12,"")</f>
        <v>6.6666666666666572</v>
      </c>
      <c r="P25" s="74">
        <f>IFERROR(O25/O12,"")</f>
        <v>3.3333333333333284E-2</v>
      </c>
      <c r="Q25" s="26"/>
      <c r="R25" s="26"/>
      <c r="S25" s="26"/>
    </row>
    <row r="26" spans="2:19" ht="15.75" customHeight="1">
      <c r="B26" s="36"/>
      <c r="C26" s="37" t="str">
        <f t="shared" si="1"/>
        <v/>
      </c>
      <c r="D26" s="37"/>
      <c r="E26" s="38" t="str">
        <f>IFERROR(algoritmo!C26,"")</f>
        <v/>
      </c>
      <c r="F26" s="38" t="str">
        <f>IFERROR(IF(algoritmo!D26=0,-E26,algoritmo!D26),"")</f>
        <v/>
      </c>
      <c r="G26" s="39" t="str">
        <f>IFERROR(algoritmo!F26,"")</f>
        <v/>
      </c>
      <c r="H26" s="40" t="str">
        <f t="shared" si="0"/>
        <v/>
      </c>
      <c r="I26" s="53" t="str">
        <f>IFERROR(algoritmo!J26,"")</f>
        <v/>
      </c>
      <c r="J26" s="54" t="str">
        <f>IF(G26="","",IF(algoritmo!$L$4=1,IF(algoritmo!F26&gt;=algoritmo!G25,"◄◄",""),IF(algoritmo!I25+algoritmo!B26=$O$14,"Ciclo com Lucro",IF(algoritmo!H26=$O$13-$O$14+1,"Ciclo com Perda"," "&amp;($O$13-$O$14-algoritmo!H26)&amp;""))))</f>
        <v/>
      </c>
      <c r="K26" s="51" t="e">
        <f>IF(#REF!="Progressivo",algoritmo!E26,"")</f>
        <v>#REF!</v>
      </c>
      <c r="L26" s="52" t="e">
        <f>IF(#REF!="Progressivo",IF(K26="","",K26),"")</f>
        <v>#REF!</v>
      </c>
      <c r="N26" s="26"/>
      <c r="O26" s="26"/>
      <c r="P26" s="26"/>
      <c r="Q26" s="26"/>
      <c r="R26" s="26"/>
      <c r="S26" s="26"/>
    </row>
    <row r="27" spans="2:19" ht="15.75" customHeight="1">
      <c r="B27" s="41"/>
      <c r="C27" s="42" t="str">
        <f t="shared" si="1"/>
        <v/>
      </c>
      <c r="D27" s="42"/>
      <c r="E27" s="43" t="str">
        <f>IFERROR(algoritmo!C27,"")</f>
        <v/>
      </c>
      <c r="F27" s="43" t="str">
        <f>IFERROR(IF(algoritmo!D27=0,-E27,algoritmo!D27),"")</f>
        <v/>
      </c>
      <c r="G27" s="44" t="str">
        <f>IFERROR(algoritmo!F27,"")</f>
        <v/>
      </c>
      <c r="H27" s="45" t="str">
        <f t="shared" si="0"/>
        <v/>
      </c>
      <c r="I27" s="55" t="str">
        <f>IFERROR(algoritmo!J27,"")</f>
        <v/>
      </c>
      <c r="J27" s="56" t="str">
        <f>IF(G27="","",IF(algoritmo!$L$4=1,IF(algoritmo!F27&gt;=algoritmo!G26,"◄◄",""),IF(algoritmo!I26+algoritmo!B27=$O$14,"Ciclo com Lucro",IF(algoritmo!H27=$O$13-$O$14+1,"Ciclo com Perda"," "&amp;($O$13-$O$14-algoritmo!H27)&amp;""))))</f>
        <v/>
      </c>
      <c r="K27" s="51" t="e">
        <f>IF(#REF!="Progressivo",algoritmo!E27,"")</f>
        <v>#REF!</v>
      </c>
      <c r="L27" s="52" t="e">
        <f>IF(#REF!="Progressivo",IF(K27="","",K27),"")</f>
        <v>#REF!</v>
      </c>
      <c r="N27" s="75" t="s">
        <v>12</v>
      </c>
      <c r="O27" s="76">
        <f>COUNTIF(algoritmo!B2:B102,"=1")</f>
        <v>1</v>
      </c>
      <c r="P27" s="77">
        <f>IF(O28+O27=0,"-",O27/(O28+O27))</f>
        <v>0.5</v>
      </c>
      <c r="Q27" s="26"/>
      <c r="R27" s="26"/>
      <c r="S27" s="26"/>
    </row>
    <row r="28" spans="2:19" ht="15.75" customHeight="1">
      <c r="B28" s="36"/>
      <c r="C28" s="37" t="str">
        <f t="shared" si="1"/>
        <v/>
      </c>
      <c r="D28" s="37"/>
      <c r="E28" s="38" t="str">
        <f>IFERROR(algoritmo!C28,"")</f>
        <v/>
      </c>
      <c r="F28" s="38" t="str">
        <f>IFERROR(IF(algoritmo!D28=0,-E28,algoritmo!D28),"")</f>
        <v/>
      </c>
      <c r="G28" s="39" t="str">
        <f>IFERROR(algoritmo!F28,"")</f>
        <v/>
      </c>
      <c r="H28" s="40" t="str">
        <f t="shared" si="0"/>
        <v/>
      </c>
      <c r="I28" s="53" t="str">
        <f>IFERROR(algoritmo!J28,"")</f>
        <v/>
      </c>
      <c r="J28" s="54" t="str">
        <f>IF(G28="","",IF(algoritmo!$L$4=1,IF(algoritmo!F28&gt;=algoritmo!G27,"◄◄",""),IF(algoritmo!I27+algoritmo!B28=$O$14,"Ciclo com Lucro",IF(algoritmo!H28=$O$13-$O$14+1,"Ciclo com Perda"," "&amp;($O$13-$O$14-algoritmo!H28)&amp;""))))</f>
        <v/>
      </c>
      <c r="K28" s="51" t="e">
        <f>IF(#REF!="Progressivo",algoritmo!E28,"")</f>
        <v>#REF!</v>
      </c>
      <c r="L28" s="52" t="e">
        <f>IF(#REF!="Progressivo",IF(K28="","",K28),"")</f>
        <v>#REF!</v>
      </c>
      <c r="N28" s="78" t="s">
        <v>23</v>
      </c>
      <c r="O28" s="79">
        <f>COUNTIF(algoritmo!B2:B102,"=0")</f>
        <v>1</v>
      </c>
      <c r="P28" s="80"/>
      <c r="Q28" s="26"/>
      <c r="R28" s="26"/>
      <c r="S28" s="26"/>
    </row>
    <row r="29" spans="2:19" ht="13.5" customHeight="1">
      <c r="B29" s="41"/>
      <c r="C29" s="42" t="str">
        <f t="shared" si="1"/>
        <v/>
      </c>
      <c r="D29" s="42"/>
      <c r="E29" s="43" t="str">
        <f>IFERROR(algoritmo!C29,"")</f>
        <v/>
      </c>
      <c r="F29" s="43" t="str">
        <f>IFERROR(IF(algoritmo!D29=0,-E29,algoritmo!D29),"")</f>
        <v/>
      </c>
      <c r="G29" s="44" t="str">
        <f>IFERROR(algoritmo!F29,"")</f>
        <v/>
      </c>
      <c r="H29" s="45" t="str">
        <f t="shared" si="0"/>
        <v/>
      </c>
      <c r="I29" s="55" t="str">
        <f>IFERROR(algoritmo!J29,"")</f>
        <v/>
      </c>
      <c r="J29" s="56" t="str">
        <f>IF(G29="","",IF(algoritmo!$L$4=1,IF(algoritmo!F29&gt;=algoritmo!G28,"◄◄",""),IF(algoritmo!I28+algoritmo!B29=$O$14,"Ciclo com Lucro",IF(algoritmo!H29=$O$13-$O$14+1,"Ciclo com Perda"," "&amp;($O$13-$O$14-algoritmo!H29)&amp;""))))</f>
        <v/>
      </c>
      <c r="K29" s="51" t="e">
        <f>IF(#REF!="Progressivo",algoritmo!E29,"")</f>
        <v>#REF!</v>
      </c>
      <c r="L29" s="52" t="e">
        <f>IF(#REF!="Progressivo",IF(K29="","",K29),"")</f>
        <v>#REF!</v>
      </c>
      <c r="N29" s="26"/>
      <c r="O29" s="26"/>
      <c r="P29" s="26"/>
      <c r="Q29" s="26"/>
      <c r="R29" s="26"/>
      <c r="S29" s="26"/>
    </row>
    <row r="30" spans="2:19" ht="13.5" customHeight="1">
      <c r="B30" s="36"/>
      <c r="C30" s="37" t="str">
        <f t="shared" si="1"/>
        <v/>
      </c>
      <c r="D30" s="37"/>
      <c r="E30" s="38" t="str">
        <f>IFERROR(algoritmo!C30,"")</f>
        <v/>
      </c>
      <c r="F30" s="38" t="str">
        <f>IFERROR(IF(algoritmo!D30=0,-E30,algoritmo!D30),"")</f>
        <v/>
      </c>
      <c r="G30" s="39" t="str">
        <f>IFERROR(algoritmo!F30,"")</f>
        <v/>
      </c>
      <c r="H30" s="40" t="str">
        <f t="shared" si="0"/>
        <v/>
      </c>
      <c r="I30" s="53" t="str">
        <f>IFERROR(algoritmo!J30,"")</f>
        <v/>
      </c>
      <c r="J30" s="54" t="str">
        <f>IF(G30="","",IF(algoritmo!$L$4=1,IF(algoritmo!F30&gt;=algoritmo!G29,"◄◄",""),IF(algoritmo!I29+algoritmo!B30=$O$14,"Ciclo com Lucro",IF(algoritmo!H30=$O$13-$O$14+1,"Ciclo com Perda"," "&amp;($O$13-$O$14-algoritmo!H30)&amp;""))))</f>
        <v/>
      </c>
      <c r="K30" s="51" t="e">
        <f>IF(#REF!="Progressivo",algoritmo!E30,"")</f>
        <v>#REF!</v>
      </c>
      <c r="L30" s="52" t="e">
        <f>IF(#REF!="Progressivo",IF(K30="","",K30),"")</f>
        <v>#REF!</v>
      </c>
      <c r="N30" s="26"/>
      <c r="O30" s="26"/>
      <c r="P30" s="26"/>
      <c r="Q30" s="26"/>
      <c r="R30" s="26"/>
      <c r="S30" s="26"/>
    </row>
    <row r="31" spans="2:19" ht="13.5" customHeight="1">
      <c r="B31" s="41"/>
      <c r="C31" s="42" t="str">
        <f t="shared" si="1"/>
        <v/>
      </c>
      <c r="D31" s="42"/>
      <c r="E31" s="43" t="str">
        <f>IFERROR(algoritmo!C31,"")</f>
        <v/>
      </c>
      <c r="F31" s="43" t="str">
        <f>IFERROR(IF(algoritmo!D31=0,-E31,algoritmo!D31),"")</f>
        <v/>
      </c>
      <c r="G31" s="44" t="str">
        <f>IFERROR(algoritmo!F31,"")</f>
        <v/>
      </c>
      <c r="H31" s="45" t="str">
        <f t="shared" si="0"/>
        <v/>
      </c>
      <c r="I31" s="55" t="str">
        <f>IFERROR(algoritmo!J31,"")</f>
        <v/>
      </c>
      <c r="J31" s="56" t="str">
        <f>IF(G31="","",IF(algoritmo!$L$4=1,IF(algoritmo!F31&gt;=algoritmo!G30,"◄◄",""),IF(algoritmo!I30+algoritmo!B31=$O$14,"Ciclo com Lucro",IF(algoritmo!H31=$O$13-$O$14+1,"Ciclo com Perda"," "&amp;($O$13-$O$14-algoritmo!H31)&amp;""))))</f>
        <v/>
      </c>
      <c r="K31" s="51" t="e">
        <f>IF(#REF!="Progressivo",algoritmo!E31,"")</f>
        <v>#REF!</v>
      </c>
      <c r="L31" s="52" t="e">
        <f>IF(#REF!="Progressivo",IF(K31="","",K31),"")</f>
        <v>#REF!</v>
      </c>
      <c r="N31" s="26"/>
      <c r="O31" s="26"/>
      <c r="P31" s="26"/>
      <c r="Q31" s="26"/>
      <c r="R31" s="26"/>
      <c r="S31" s="26"/>
    </row>
    <row r="32" spans="2:19" ht="13.5" customHeight="1">
      <c r="B32" s="36"/>
      <c r="C32" s="37" t="str">
        <f t="shared" si="1"/>
        <v/>
      </c>
      <c r="D32" s="37"/>
      <c r="E32" s="38" t="str">
        <f>IFERROR(algoritmo!C32,"")</f>
        <v/>
      </c>
      <c r="F32" s="38" t="str">
        <f>IFERROR(IF(algoritmo!D32=0,-E32,algoritmo!D32),"")</f>
        <v/>
      </c>
      <c r="G32" s="39" t="str">
        <f>IFERROR(algoritmo!F32,"")</f>
        <v/>
      </c>
      <c r="H32" s="40" t="str">
        <f t="shared" si="0"/>
        <v/>
      </c>
      <c r="I32" s="53" t="str">
        <f>IFERROR(algoritmo!J32,"")</f>
        <v/>
      </c>
      <c r="J32" s="54" t="str">
        <f>IF(G32="","",IF(algoritmo!$L$4=1,IF(algoritmo!F32&gt;=algoritmo!G31,"◄◄",""),IF(algoritmo!I31+algoritmo!B32=$O$14,"Ciclo com Lucro",IF(algoritmo!H32=$O$13-$O$14+1,"Ciclo com Perda"," "&amp;($O$13-$O$14-algoritmo!H32)&amp;""))))</f>
        <v/>
      </c>
      <c r="K32" s="51" t="e">
        <f>IF(#REF!="Progressivo",algoritmo!E32,"")</f>
        <v>#REF!</v>
      </c>
      <c r="L32" s="52" t="e">
        <f>IF(#REF!="Progressivo",IF(K32="","",K32),"")</f>
        <v>#REF!</v>
      </c>
      <c r="N32" s="26"/>
      <c r="O32" s="26"/>
      <c r="P32" s="26"/>
      <c r="Q32" s="26"/>
      <c r="R32" s="26"/>
      <c r="S32" s="26"/>
    </row>
    <row r="33" spans="2:19" ht="13.5" customHeight="1">
      <c r="B33" s="41"/>
      <c r="C33" s="42" t="str">
        <f t="shared" si="1"/>
        <v/>
      </c>
      <c r="D33" s="42"/>
      <c r="E33" s="43" t="str">
        <f>IFERROR(algoritmo!C33,"")</f>
        <v/>
      </c>
      <c r="F33" s="43" t="str">
        <f>IFERROR(IF(algoritmo!D33=0,-E33,algoritmo!D33),"")</f>
        <v/>
      </c>
      <c r="G33" s="44" t="str">
        <f>IFERROR(algoritmo!F33,"")</f>
        <v/>
      </c>
      <c r="H33" s="45" t="str">
        <f t="shared" si="0"/>
        <v/>
      </c>
      <c r="I33" s="55" t="str">
        <f>IFERROR(algoritmo!J33,"")</f>
        <v/>
      </c>
      <c r="J33" s="56" t="str">
        <f>IF(G33="","",IF(algoritmo!$L$4=1,IF(algoritmo!F33&gt;=algoritmo!G32,"◄◄",""),IF(algoritmo!I32+algoritmo!B33=$O$14,"Ciclo com Lucro",IF(algoritmo!H33=$O$13-$O$14+1,"Ciclo com Perda"," "&amp;($O$13-$O$14-algoritmo!H33)&amp;""))))</f>
        <v/>
      </c>
      <c r="K33" s="51" t="e">
        <f>IF(#REF!="Progressivo",algoritmo!E33,"")</f>
        <v>#REF!</v>
      </c>
      <c r="L33" s="52" t="e">
        <f>IF(#REF!="Progressivo",IF(K33="","",K33),"")</f>
        <v>#REF!</v>
      </c>
      <c r="N33" s="26"/>
      <c r="O33" s="26"/>
      <c r="P33" s="26"/>
      <c r="Q33" s="26"/>
      <c r="R33" s="26"/>
      <c r="S33" s="26"/>
    </row>
    <row r="34" spans="2:19" ht="13.5" customHeight="1">
      <c r="B34" s="36"/>
      <c r="C34" s="37" t="str">
        <f t="shared" si="1"/>
        <v/>
      </c>
      <c r="D34" s="37"/>
      <c r="E34" s="38" t="str">
        <f>IFERROR(algoritmo!C34,"")</f>
        <v/>
      </c>
      <c r="F34" s="38" t="str">
        <f>IFERROR(IF(algoritmo!D34=0,-E34,algoritmo!D34),"")</f>
        <v/>
      </c>
      <c r="G34" s="39" t="str">
        <f>IFERROR(algoritmo!F34,"")</f>
        <v/>
      </c>
      <c r="H34" s="40" t="str">
        <f t="shared" si="0"/>
        <v/>
      </c>
      <c r="I34" s="53" t="str">
        <f>IFERROR(algoritmo!J34,"")</f>
        <v/>
      </c>
      <c r="J34" s="54" t="str">
        <f>IF(G34="","",IF(algoritmo!$L$4=1,IF(algoritmo!F34&gt;=algoritmo!G33,"◄◄",""),IF(algoritmo!I33+algoritmo!B34=$O$14,"Ciclo com Lucro",IF(algoritmo!H34=$O$13-$O$14+1,"Ciclo com Perda"," "&amp;($O$13-$O$14-algoritmo!H34)&amp;""))))</f>
        <v/>
      </c>
      <c r="K34" s="51" t="e">
        <f>IF(#REF!="Progressivo",algoritmo!E34,"")</f>
        <v>#REF!</v>
      </c>
      <c r="L34" s="52" t="e">
        <f>IF(#REF!="Progressivo",IF(K34="","",K34),"")</f>
        <v>#REF!</v>
      </c>
      <c r="N34" s="26"/>
      <c r="O34" s="26"/>
      <c r="P34" s="26"/>
      <c r="Q34" s="26"/>
      <c r="R34" s="26"/>
      <c r="S34" s="26"/>
    </row>
    <row r="35" spans="2:19" ht="13.5" customHeight="1">
      <c r="B35" s="41"/>
      <c r="C35" s="42" t="str">
        <f t="shared" si="1"/>
        <v/>
      </c>
      <c r="D35" s="42"/>
      <c r="E35" s="43" t="str">
        <f>IFERROR(algoritmo!C35,"")</f>
        <v/>
      </c>
      <c r="F35" s="43" t="str">
        <f>IFERROR(IF(algoritmo!D35=0,-E35,algoritmo!D35),"")</f>
        <v/>
      </c>
      <c r="G35" s="44" t="str">
        <f>IFERROR(algoritmo!F35,"")</f>
        <v/>
      </c>
      <c r="H35" s="45" t="str">
        <f t="shared" si="0"/>
        <v/>
      </c>
      <c r="I35" s="55" t="str">
        <f>IFERROR(algoritmo!J35,"")</f>
        <v/>
      </c>
      <c r="J35" s="56" t="str">
        <f>IF(G35="","",IF(algoritmo!$L$4=1,IF(algoritmo!F35&gt;=algoritmo!G34,"◄◄",""),IF(algoritmo!I34+algoritmo!B35=$O$14,"Ciclo com Lucro",IF(algoritmo!H35=$O$13-$O$14+1,"Ciclo com Perda"," "&amp;($O$13-$O$14-algoritmo!H35)&amp;""))))</f>
        <v/>
      </c>
      <c r="K35" s="51" t="e">
        <f>IF(#REF!="Progressivo",algoritmo!E35,"")</f>
        <v>#REF!</v>
      </c>
      <c r="L35" s="52" t="e">
        <f>IF(#REF!="Progressivo",IF(K35="","",K35),"")</f>
        <v>#REF!</v>
      </c>
      <c r="N35" s="26"/>
      <c r="O35" s="26"/>
      <c r="P35" s="26"/>
      <c r="Q35" s="26"/>
      <c r="R35" s="26"/>
      <c r="S35" s="26"/>
    </row>
    <row r="36" spans="2:19" ht="13.5" customHeight="1">
      <c r="B36" s="36"/>
      <c r="C36" s="37" t="str">
        <f t="shared" si="1"/>
        <v/>
      </c>
      <c r="D36" s="37"/>
      <c r="E36" s="38" t="str">
        <f>IFERROR(algoritmo!C36,"")</f>
        <v/>
      </c>
      <c r="F36" s="38" t="str">
        <f>IFERROR(IF(algoritmo!D36=0,-E36,algoritmo!D36),"")</f>
        <v/>
      </c>
      <c r="G36" s="39" t="str">
        <f>IFERROR(algoritmo!F36,"")</f>
        <v/>
      </c>
      <c r="H36" s="40" t="str">
        <f t="shared" si="0"/>
        <v/>
      </c>
      <c r="I36" s="53" t="str">
        <f>IFERROR(algoritmo!J36,"")</f>
        <v/>
      </c>
      <c r="J36" s="54" t="str">
        <f>IF(G36="","",IF(algoritmo!$L$4=1,IF(algoritmo!F36&gt;=algoritmo!G35,"◄◄",""),IF(algoritmo!I35+algoritmo!B36=$O$14,"Ciclo com Lucro",IF(algoritmo!H36=$O$13-$O$14+1,"Ciclo com Perda"," "&amp;($O$13-$O$14-algoritmo!H36)&amp;""))))</f>
        <v/>
      </c>
      <c r="K36" s="51" t="e">
        <f>IF(#REF!="Progressivo",algoritmo!E36,"")</f>
        <v>#REF!</v>
      </c>
      <c r="L36" s="52" t="e">
        <f>IF(#REF!="Progressivo",IF(K36="","",K36),"")</f>
        <v>#REF!</v>
      </c>
      <c r="N36" s="26"/>
      <c r="O36" s="26"/>
      <c r="P36" s="26"/>
      <c r="Q36" s="26"/>
      <c r="R36" s="26"/>
      <c r="S36" s="26"/>
    </row>
    <row r="37" spans="2:19" ht="13.5" customHeight="1">
      <c r="B37" s="41"/>
      <c r="C37" s="42" t="str">
        <f t="shared" si="1"/>
        <v/>
      </c>
      <c r="D37" s="42"/>
      <c r="E37" s="43" t="str">
        <f>IFERROR(algoritmo!C37,"")</f>
        <v/>
      </c>
      <c r="F37" s="43" t="str">
        <f>IFERROR(IF(algoritmo!D37=0,-E37,algoritmo!D37),"")</f>
        <v/>
      </c>
      <c r="G37" s="44" t="str">
        <f>IFERROR(algoritmo!F37,"")</f>
        <v/>
      </c>
      <c r="H37" s="45" t="str">
        <f t="shared" si="0"/>
        <v/>
      </c>
      <c r="I37" s="55" t="str">
        <f>IFERROR(algoritmo!J37,"")</f>
        <v/>
      </c>
      <c r="J37" s="56" t="str">
        <f>IF(G37="","",IF(algoritmo!$L$4=1,IF(algoritmo!F37&gt;=algoritmo!G36,"◄◄",""),IF(algoritmo!I36+algoritmo!B37=$O$14,"Ciclo com Lucro",IF(algoritmo!H37=$O$13-$O$14+1,"Ciclo com Perda"," "&amp;($O$13-$O$14-algoritmo!H37)&amp;""))))</f>
        <v/>
      </c>
      <c r="K37" s="51" t="e">
        <f>IF(#REF!="Progressivo",algoritmo!E37,"")</f>
        <v>#REF!</v>
      </c>
      <c r="L37" s="52" t="e">
        <f>IF(#REF!="Progressivo",IF(K37="","",K37),"")</f>
        <v>#REF!</v>
      </c>
      <c r="N37" s="26"/>
      <c r="O37" s="26"/>
      <c r="P37" s="26"/>
      <c r="Q37" s="26"/>
      <c r="R37" s="26"/>
      <c r="S37" s="26"/>
    </row>
    <row r="38" spans="2:19" ht="13.5" customHeight="1">
      <c r="B38" s="36"/>
      <c r="C38" s="37" t="str">
        <f t="shared" si="1"/>
        <v/>
      </c>
      <c r="D38" s="37"/>
      <c r="E38" s="38" t="str">
        <f>IFERROR(algoritmo!C38,"")</f>
        <v/>
      </c>
      <c r="F38" s="38" t="str">
        <f>IFERROR(IF(algoritmo!D38=0,-E38,algoritmo!D38),"")</f>
        <v/>
      </c>
      <c r="G38" s="39" t="str">
        <f>IFERROR(algoritmo!F38,"")</f>
        <v/>
      </c>
      <c r="H38" s="40" t="str">
        <f t="shared" si="0"/>
        <v/>
      </c>
      <c r="I38" s="53" t="str">
        <f>IFERROR(algoritmo!J38,"")</f>
        <v/>
      </c>
      <c r="J38" s="54" t="str">
        <f>IF(G38="","",IF(algoritmo!$L$4=1,IF(algoritmo!F38&gt;=algoritmo!G37,"◄◄",""),IF(algoritmo!I37+algoritmo!B38=$O$14,"Ciclo com Lucro",IF(algoritmo!H38=$O$13-$O$14+1,"Ciclo com Perda"," "&amp;($O$13-$O$14-algoritmo!H38)&amp;""))))</f>
        <v/>
      </c>
      <c r="K38" s="51" t="e">
        <f>IF(#REF!="Progressivo",algoritmo!E38,"")</f>
        <v>#REF!</v>
      </c>
      <c r="L38" s="52" t="e">
        <f>IF(#REF!="Progressivo",IF(K38="","",K38),"")</f>
        <v>#REF!</v>
      </c>
      <c r="N38" s="26"/>
      <c r="O38" s="26"/>
      <c r="P38" s="26"/>
      <c r="Q38" s="26"/>
      <c r="R38" s="26"/>
      <c r="S38" s="26"/>
    </row>
    <row r="39" spans="2:19" ht="13.5" customHeight="1">
      <c r="B39" s="41"/>
      <c r="C39" s="42" t="str">
        <f t="shared" si="1"/>
        <v/>
      </c>
      <c r="D39" s="42"/>
      <c r="E39" s="43" t="str">
        <f>IFERROR(algoritmo!C39,"")</f>
        <v/>
      </c>
      <c r="F39" s="43" t="str">
        <f>IFERROR(IF(algoritmo!D39=0,-E39,algoritmo!D39),"")</f>
        <v/>
      </c>
      <c r="G39" s="44" t="str">
        <f>IFERROR(algoritmo!F39,"")</f>
        <v/>
      </c>
      <c r="H39" s="45" t="str">
        <f t="shared" si="0"/>
        <v/>
      </c>
      <c r="I39" s="55" t="str">
        <f>IFERROR(algoritmo!J39,"")</f>
        <v/>
      </c>
      <c r="J39" s="56" t="str">
        <f>IF(G39="","",IF(algoritmo!$L$4=1,IF(algoritmo!F39&gt;=algoritmo!G38,"◄◄",""),IF(algoritmo!I38+algoritmo!B39=$O$14,"Ciclo com Lucro",IF(algoritmo!H39=$O$13-$O$14+1,"Ciclo com Perda"," "&amp;($O$13-$O$14-algoritmo!H39)&amp;""))))</f>
        <v/>
      </c>
      <c r="K39" s="51" t="e">
        <f>IF(#REF!="Progressivo",algoritmo!E39,"")</f>
        <v>#REF!</v>
      </c>
      <c r="L39" s="52" t="e">
        <f>IF(#REF!="Progressivo",IF(K39="","",K39),"")</f>
        <v>#REF!</v>
      </c>
      <c r="N39" s="26"/>
      <c r="O39" s="26"/>
      <c r="P39" s="26"/>
      <c r="Q39" s="26"/>
      <c r="R39" s="26"/>
      <c r="S39" s="26"/>
    </row>
    <row r="40" spans="2:19" ht="13.5" customHeight="1">
      <c r="B40" s="36"/>
      <c r="C40" s="37" t="str">
        <f t="shared" si="1"/>
        <v/>
      </c>
      <c r="D40" s="37"/>
      <c r="E40" s="38" t="str">
        <f>IFERROR(algoritmo!C40,"")</f>
        <v/>
      </c>
      <c r="F40" s="38" t="str">
        <f>IFERROR(IF(algoritmo!D40=0,-E40,algoritmo!D40),"")</f>
        <v/>
      </c>
      <c r="G40" s="39" t="str">
        <f>IFERROR(algoritmo!F40,"")</f>
        <v/>
      </c>
      <c r="H40" s="40" t="str">
        <f t="shared" si="0"/>
        <v/>
      </c>
      <c r="I40" s="53" t="str">
        <f>IFERROR(algoritmo!J40,"")</f>
        <v/>
      </c>
      <c r="J40" s="54" t="str">
        <f>IF(G40="","",IF(algoritmo!$L$4=1,IF(algoritmo!F40&gt;=algoritmo!G39,"◄◄",""),IF(algoritmo!I39+algoritmo!B40=$O$14,"Ciclo com Lucro",IF(algoritmo!H40=$O$13-$O$14+1,"Ciclo com Perda"," "&amp;($O$13-$O$14-algoritmo!H40)&amp;""))))</f>
        <v/>
      </c>
      <c r="K40" s="51" t="e">
        <f>IF(#REF!="Progressivo",algoritmo!E40,"")</f>
        <v>#REF!</v>
      </c>
      <c r="L40" s="52" t="e">
        <f>IF(#REF!="Progressivo",IF(K40="","",K40),"")</f>
        <v>#REF!</v>
      </c>
      <c r="N40" s="26"/>
      <c r="O40" s="26"/>
      <c r="P40" s="26"/>
      <c r="Q40" s="26"/>
      <c r="R40" s="26"/>
      <c r="S40" s="26"/>
    </row>
    <row r="41" spans="2:19" ht="13.5" customHeight="1">
      <c r="B41" s="41"/>
      <c r="C41" s="42" t="str">
        <f t="shared" si="1"/>
        <v/>
      </c>
      <c r="D41" s="42"/>
      <c r="E41" s="43" t="str">
        <f>IFERROR(algoritmo!C41,"")</f>
        <v/>
      </c>
      <c r="F41" s="43" t="str">
        <f>IFERROR(IF(algoritmo!D41=0,-E41,algoritmo!D41),"")</f>
        <v/>
      </c>
      <c r="G41" s="44" t="str">
        <f>IFERROR(algoritmo!F41,"")</f>
        <v/>
      </c>
      <c r="H41" s="45" t="str">
        <f t="shared" si="0"/>
        <v/>
      </c>
      <c r="I41" s="55" t="str">
        <f>IFERROR(algoritmo!J41,"")</f>
        <v/>
      </c>
      <c r="J41" s="56" t="str">
        <f>IF(G41="","",IF(algoritmo!$L$4=1,IF(algoritmo!F41&gt;=algoritmo!G40,"◄◄",""),IF(algoritmo!I40+algoritmo!B41=$O$14,"Ciclo com Lucro",IF(algoritmo!H41=$O$13-$O$14+1,"Ciclo com Perda"," "&amp;($O$13-$O$14-algoritmo!H41)&amp;""))))</f>
        <v/>
      </c>
      <c r="K41" s="51" t="e">
        <f>IF(#REF!="Progressivo",algoritmo!E41,"")</f>
        <v>#REF!</v>
      </c>
      <c r="L41" s="52" t="e">
        <f>IF(#REF!="Progressivo",IF(K41="","",K41),"")</f>
        <v>#REF!</v>
      </c>
      <c r="N41" s="26"/>
      <c r="O41" s="26"/>
      <c r="P41" s="26"/>
      <c r="Q41" s="26"/>
      <c r="R41" s="26"/>
      <c r="S41" s="26"/>
    </row>
    <row r="42" spans="2:19" ht="13.5" customHeight="1">
      <c r="B42" s="36"/>
      <c r="C42" s="37" t="str">
        <f t="shared" si="1"/>
        <v/>
      </c>
      <c r="D42" s="37"/>
      <c r="E42" s="38" t="str">
        <f>IFERROR(algoritmo!C42,"")</f>
        <v/>
      </c>
      <c r="F42" s="38" t="str">
        <f>IFERROR(IF(algoritmo!D42=0,-E42,algoritmo!D42),"")</f>
        <v/>
      </c>
      <c r="G42" s="39" t="str">
        <f>IFERROR(algoritmo!F42,"")</f>
        <v/>
      </c>
      <c r="H42" s="40" t="str">
        <f t="shared" si="0"/>
        <v/>
      </c>
      <c r="I42" s="53" t="str">
        <f>IFERROR(algoritmo!J42,"")</f>
        <v/>
      </c>
      <c r="J42" s="54" t="str">
        <f>IF(G42="","",IF(algoritmo!$L$4=1,IF(algoritmo!F42&gt;=algoritmo!G41,"◄◄",""),IF(algoritmo!I41+algoritmo!B42=$O$14,"Ciclo com Lucro",IF(algoritmo!H42=$O$13-$O$14+1,"Ciclo com Perda"," "&amp;($O$13-$O$14-algoritmo!H42)&amp;""))))</f>
        <v/>
      </c>
      <c r="K42" s="51" t="e">
        <f>IF(#REF!="Progressivo",algoritmo!E42,"")</f>
        <v>#REF!</v>
      </c>
      <c r="L42" s="52" t="e">
        <f>IF(#REF!="Progressivo",IF(K42="","",K42),"")</f>
        <v>#REF!</v>
      </c>
      <c r="N42" s="26"/>
      <c r="O42" s="26"/>
      <c r="P42" s="26"/>
      <c r="Q42" s="26"/>
      <c r="R42" s="26"/>
      <c r="S42" s="26"/>
    </row>
    <row r="43" spans="2:19" ht="13.5" customHeight="1">
      <c r="B43" s="41"/>
      <c r="C43" s="42" t="str">
        <f t="shared" si="1"/>
        <v/>
      </c>
      <c r="D43" s="42"/>
      <c r="E43" s="43" t="str">
        <f>IFERROR(algoritmo!C43,"")</f>
        <v/>
      </c>
      <c r="F43" s="43" t="str">
        <f>IFERROR(IF(algoritmo!D43=0,-E43,algoritmo!D43),"")</f>
        <v/>
      </c>
      <c r="G43" s="44" t="str">
        <f>IFERROR(algoritmo!F43,"")</f>
        <v/>
      </c>
      <c r="H43" s="45" t="str">
        <f t="shared" si="0"/>
        <v/>
      </c>
      <c r="I43" s="55" t="str">
        <f>IFERROR(algoritmo!J43,"")</f>
        <v/>
      </c>
      <c r="J43" s="56" t="str">
        <f>IF(G43="","",IF(algoritmo!$L$4=1,IF(algoritmo!F43&gt;=algoritmo!G42,"◄◄",""),IF(algoritmo!I42+algoritmo!B43=$O$14,"Ciclo com Lucro",IF(algoritmo!H43=$O$13-$O$14+1,"Ciclo com Perda"," "&amp;($O$13-$O$14-algoritmo!H43)&amp;""))))</f>
        <v/>
      </c>
      <c r="K43" s="51" t="e">
        <f>IF(#REF!="Progressivo",algoritmo!E43,"")</f>
        <v>#REF!</v>
      </c>
      <c r="L43" s="52" t="e">
        <f>IF(#REF!="Progressivo",IF(K43="","",K43),"")</f>
        <v>#REF!</v>
      </c>
      <c r="N43" s="26"/>
      <c r="O43" s="26"/>
      <c r="P43" s="26"/>
      <c r="Q43" s="26"/>
      <c r="R43" s="26"/>
      <c r="S43" s="26"/>
    </row>
    <row r="44" spans="2:19" ht="13.5" customHeight="1">
      <c r="B44" s="36"/>
      <c r="C44" s="37" t="str">
        <f t="shared" si="1"/>
        <v/>
      </c>
      <c r="D44" s="37"/>
      <c r="E44" s="38" t="str">
        <f>IFERROR(algoritmo!C44,"")</f>
        <v/>
      </c>
      <c r="F44" s="38" t="str">
        <f>IFERROR(IF(algoritmo!D44=0,-E44,algoritmo!D44),"")</f>
        <v/>
      </c>
      <c r="G44" s="39" t="str">
        <f>IFERROR(algoritmo!F44,"")</f>
        <v/>
      </c>
      <c r="H44" s="40" t="str">
        <f t="shared" si="0"/>
        <v/>
      </c>
      <c r="I44" s="53" t="str">
        <f>IFERROR(algoritmo!J44,"")</f>
        <v/>
      </c>
      <c r="J44" s="54" t="str">
        <f>IF(G44="","",IF(algoritmo!$L$4=1,IF(algoritmo!F44&gt;=algoritmo!G43,"◄◄",""),IF(algoritmo!I43+algoritmo!B44=$O$14,"Ciclo com Lucro",IF(algoritmo!H44=$O$13-$O$14+1,"Ciclo com Perda"," "&amp;($O$13-$O$14-algoritmo!H44)&amp;""))))</f>
        <v/>
      </c>
      <c r="K44" s="51" t="e">
        <f>IF(#REF!="Progressivo",algoritmo!E44,"")</f>
        <v>#REF!</v>
      </c>
      <c r="L44" s="52" t="e">
        <f>IF(#REF!="Progressivo",IF(K44="","",K44),"")</f>
        <v>#REF!</v>
      </c>
      <c r="N44" s="26"/>
      <c r="O44" s="26"/>
      <c r="P44" s="26"/>
      <c r="Q44" s="26"/>
      <c r="R44" s="26"/>
      <c r="S44" s="26"/>
    </row>
    <row r="45" spans="2:19" ht="13.5" customHeight="1">
      <c r="B45" s="41"/>
      <c r="C45" s="42" t="str">
        <f t="shared" si="1"/>
        <v/>
      </c>
      <c r="D45" s="42"/>
      <c r="E45" s="43" t="str">
        <f>IFERROR(algoritmo!C45,"")</f>
        <v/>
      </c>
      <c r="F45" s="43" t="str">
        <f>IFERROR(IF(algoritmo!D45=0,-E45,algoritmo!D45),"")</f>
        <v/>
      </c>
      <c r="G45" s="44" t="str">
        <f>IFERROR(algoritmo!F45,"")</f>
        <v/>
      </c>
      <c r="H45" s="45" t="str">
        <f t="shared" si="0"/>
        <v/>
      </c>
      <c r="I45" s="55" t="str">
        <f>IFERROR(algoritmo!J45,"")</f>
        <v/>
      </c>
      <c r="J45" s="56" t="str">
        <f>IF(G45="","",IF(algoritmo!$L$4=1,IF(algoritmo!F45&gt;=algoritmo!G44,"◄◄",""),IF(algoritmo!I44+algoritmo!B45=$O$14,"Ciclo com Lucro",IF(algoritmo!H45=$O$13-$O$14+1,"Ciclo com Perda"," "&amp;($O$13-$O$14-algoritmo!H45)&amp;""))))</f>
        <v/>
      </c>
      <c r="K45" s="51" t="e">
        <f>IF(#REF!="Progressivo",algoritmo!E45,"")</f>
        <v>#REF!</v>
      </c>
      <c r="L45" s="52" t="e">
        <f>IF(#REF!="Progressivo",IF(K45="","",K45),"")</f>
        <v>#REF!</v>
      </c>
      <c r="N45" s="26"/>
      <c r="O45" s="26"/>
      <c r="P45" s="26"/>
      <c r="Q45" s="26"/>
      <c r="R45" s="26"/>
      <c r="S45" s="26"/>
    </row>
    <row r="46" spans="2:19" ht="13.5" customHeight="1">
      <c r="B46" s="36"/>
      <c r="C46" s="37" t="str">
        <f t="shared" si="1"/>
        <v/>
      </c>
      <c r="D46" s="37"/>
      <c r="E46" s="38" t="str">
        <f>IFERROR(algoritmo!C46,"")</f>
        <v/>
      </c>
      <c r="F46" s="38" t="str">
        <f>IFERROR(IF(algoritmo!D46=0,-E46,algoritmo!D46),"")</f>
        <v/>
      </c>
      <c r="G46" s="39" t="str">
        <f>IFERROR(algoritmo!F46,"")</f>
        <v/>
      </c>
      <c r="H46" s="40" t="str">
        <f t="shared" si="0"/>
        <v/>
      </c>
      <c r="I46" s="53" t="str">
        <f>IFERROR(algoritmo!J46,"")</f>
        <v/>
      </c>
      <c r="J46" s="54" t="str">
        <f>IF(G46="","",IF(algoritmo!$L$4=1,IF(algoritmo!F46&gt;=algoritmo!G45,"◄◄",""),IF(algoritmo!I45+algoritmo!B46=$O$14,"Ciclo com Lucro",IF(algoritmo!H46=$O$13-$O$14+1,"Ciclo com Perda"," "&amp;($O$13-$O$14-algoritmo!H46)&amp;""))))</f>
        <v/>
      </c>
      <c r="K46" s="51" t="e">
        <f>IF(#REF!="Progressivo",algoritmo!E46,"")</f>
        <v>#REF!</v>
      </c>
      <c r="L46" s="52" t="e">
        <f>IF(#REF!="Progressivo",IF(K46="","",K46),"")</f>
        <v>#REF!</v>
      </c>
      <c r="N46" s="26"/>
      <c r="O46" s="26"/>
      <c r="P46" s="26"/>
      <c r="Q46" s="26"/>
      <c r="R46" s="26"/>
      <c r="S46" s="26"/>
    </row>
    <row r="47" spans="2:19" ht="13.5" customHeight="1">
      <c r="B47" s="41"/>
      <c r="C47" s="42" t="str">
        <f t="shared" si="1"/>
        <v/>
      </c>
      <c r="D47" s="42"/>
      <c r="E47" s="43" t="str">
        <f>IFERROR(algoritmo!C47,"")</f>
        <v/>
      </c>
      <c r="F47" s="43" t="str">
        <f>IFERROR(IF(algoritmo!D47=0,-E47,algoritmo!D47),"")</f>
        <v/>
      </c>
      <c r="G47" s="44" t="str">
        <f>IFERROR(algoritmo!F47,"")</f>
        <v/>
      </c>
      <c r="H47" s="45" t="str">
        <f t="shared" si="0"/>
        <v/>
      </c>
      <c r="I47" s="55" t="str">
        <f>IFERROR(algoritmo!J47,"")</f>
        <v/>
      </c>
      <c r="J47" s="56" t="str">
        <f>IF(G47="","",IF(algoritmo!$L$4=1,IF(algoritmo!F47&gt;=algoritmo!G46,"◄◄",""),IF(algoritmo!I46+algoritmo!B47=$O$14,"Ciclo com Lucro",IF(algoritmo!H47=$O$13-$O$14+1,"Ciclo com Perda"," "&amp;($O$13-$O$14-algoritmo!H47)&amp;""))))</f>
        <v/>
      </c>
      <c r="K47" s="51" t="e">
        <f>IF(#REF!="Progressivo",algoritmo!E47,"")</f>
        <v>#REF!</v>
      </c>
      <c r="L47" s="52" t="e">
        <f>IF(#REF!="Progressivo",IF(K47="","",K47),"")</f>
        <v>#REF!</v>
      </c>
      <c r="N47" s="26"/>
      <c r="O47" s="26"/>
      <c r="P47" s="26"/>
      <c r="Q47" s="26"/>
      <c r="R47" s="26"/>
      <c r="S47" s="26"/>
    </row>
    <row r="48" spans="2:19" ht="13.5" customHeight="1">
      <c r="B48" s="36"/>
      <c r="C48" s="37" t="str">
        <f t="shared" si="1"/>
        <v/>
      </c>
      <c r="D48" s="37"/>
      <c r="E48" s="38" t="str">
        <f>IFERROR(algoritmo!C48,"")</f>
        <v/>
      </c>
      <c r="F48" s="38" t="str">
        <f>IFERROR(IF(algoritmo!D48=0,-E48,algoritmo!D48),"")</f>
        <v/>
      </c>
      <c r="G48" s="39" t="str">
        <f>IFERROR(algoritmo!F48,"")</f>
        <v/>
      </c>
      <c r="H48" s="40" t="str">
        <f t="shared" si="0"/>
        <v/>
      </c>
      <c r="I48" s="53" t="str">
        <f>IFERROR(algoritmo!J48,"")</f>
        <v/>
      </c>
      <c r="J48" s="54" t="str">
        <f>IF(G48="","",IF(algoritmo!$L$4=1,IF(algoritmo!F48&gt;=algoritmo!G47,"◄◄",""),IF(algoritmo!I47+algoritmo!B48=$O$14,"Ciclo com Lucro",IF(algoritmo!H48=$O$13-$O$14+1,"Ciclo com Perda"," "&amp;($O$13-$O$14-algoritmo!H48)&amp;""))))</f>
        <v/>
      </c>
      <c r="K48" s="51" t="e">
        <f>IF(#REF!="Progressivo",algoritmo!E48,"")</f>
        <v>#REF!</v>
      </c>
      <c r="L48" s="52" t="e">
        <f>IF(#REF!="Progressivo",IF(K48="","",K48),"")</f>
        <v>#REF!</v>
      </c>
      <c r="N48" s="26"/>
      <c r="O48" s="26"/>
      <c r="P48" s="26"/>
      <c r="Q48" s="26"/>
      <c r="R48" s="26"/>
      <c r="S48" s="26"/>
    </row>
    <row r="49" spans="2:19" ht="13.5" customHeight="1">
      <c r="B49" s="41"/>
      <c r="C49" s="42" t="str">
        <f t="shared" si="1"/>
        <v/>
      </c>
      <c r="D49" s="42"/>
      <c r="E49" s="43" t="str">
        <f>IFERROR(algoritmo!C49,"")</f>
        <v/>
      </c>
      <c r="F49" s="43" t="str">
        <f>IFERROR(IF(algoritmo!D49=0,-E49,algoritmo!D49),"")</f>
        <v/>
      </c>
      <c r="G49" s="44" t="str">
        <f>IFERROR(algoritmo!F49,"")</f>
        <v/>
      </c>
      <c r="H49" s="45" t="str">
        <f t="shared" si="0"/>
        <v/>
      </c>
      <c r="I49" s="55" t="str">
        <f>IFERROR(algoritmo!J49,"")</f>
        <v/>
      </c>
      <c r="J49" s="56" t="str">
        <f>IF(G49="","",IF(algoritmo!$L$4=1,IF(algoritmo!F49&gt;=algoritmo!G48,"◄◄",""),IF(algoritmo!I48+algoritmo!B49=$O$14,"Ciclo com Lucro",IF(algoritmo!H49=$O$13-$O$14+1,"Ciclo com Perda"," "&amp;($O$13-$O$14-algoritmo!H49)&amp;""))))</f>
        <v/>
      </c>
      <c r="K49" s="51" t="e">
        <f>IF(#REF!="Progressivo",algoritmo!E49,"")</f>
        <v>#REF!</v>
      </c>
      <c r="L49" s="52" t="e">
        <f>IF(#REF!="Progressivo",IF(K49="","",K49),"")</f>
        <v>#REF!</v>
      </c>
      <c r="N49" s="26"/>
      <c r="O49" s="26"/>
      <c r="P49" s="26"/>
      <c r="Q49" s="26"/>
      <c r="R49" s="26"/>
      <c r="S49" s="26"/>
    </row>
    <row r="50" spans="2:19" ht="13.5" customHeight="1">
      <c r="B50" s="36"/>
      <c r="C50" s="37" t="str">
        <f t="shared" si="1"/>
        <v/>
      </c>
      <c r="D50" s="37"/>
      <c r="E50" s="38" t="str">
        <f>IFERROR(algoritmo!C50,"")</f>
        <v/>
      </c>
      <c r="F50" s="38" t="str">
        <f>IFERROR(IF(algoritmo!D50=0,-E50,algoritmo!D50),"")</f>
        <v/>
      </c>
      <c r="G50" s="39" t="str">
        <f>IFERROR(algoritmo!F50,"")</f>
        <v/>
      </c>
      <c r="H50" s="40" t="str">
        <f t="shared" si="0"/>
        <v/>
      </c>
      <c r="I50" s="53" t="str">
        <f>IFERROR(algoritmo!J50,"")</f>
        <v/>
      </c>
      <c r="J50" s="54" t="str">
        <f>IF(G50="","",IF(algoritmo!$L$4=1,IF(algoritmo!F50&gt;=algoritmo!G49,"◄◄",""),IF(algoritmo!I49+algoritmo!B50=$O$14,"Ciclo com Lucro",IF(algoritmo!H50=$O$13-$O$14+1,"Ciclo com Perda"," "&amp;($O$13-$O$14-algoritmo!H50)&amp;""))))</f>
        <v/>
      </c>
      <c r="K50" s="51" t="e">
        <f>IF(#REF!="Progressivo",algoritmo!E50,"")</f>
        <v>#REF!</v>
      </c>
      <c r="L50" s="52" t="e">
        <f>IF(#REF!="Progressivo",IF(K50="","",K50),"")</f>
        <v>#REF!</v>
      </c>
      <c r="N50" s="26"/>
      <c r="O50" s="26"/>
      <c r="P50" s="26"/>
      <c r="Q50" s="26"/>
      <c r="R50" s="26"/>
      <c r="S50" s="26"/>
    </row>
    <row r="51" spans="2:19" ht="13.5" customHeight="1">
      <c r="B51" s="41"/>
      <c r="C51" s="42" t="str">
        <f t="shared" si="1"/>
        <v/>
      </c>
      <c r="D51" s="42"/>
      <c r="E51" s="43" t="str">
        <f>IFERROR(algoritmo!C51,"")</f>
        <v/>
      </c>
      <c r="F51" s="43" t="str">
        <f>IFERROR(IF(algoritmo!D51=0,-E51,algoritmo!D51),"")</f>
        <v/>
      </c>
      <c r="G51" s="44" t="str">
        <f>IFERROR(algoritmo!F51,"")</f>
        <v/>
      </c>
      <c r="H51" s="45" t="str">
        <f t="shared" si="0"/>
        <v/>
      </c>
      <c r="I51" s="55" t="str">
        <f>IFERROR(algoritmo!J51,"")</f>
        <v/>
      </c>
      <c r="J51" s="56" t="str">
        <f>IF(G51="","",IF(algoritmo!$L$4=1,IF(algoritmo!F51&gt;=algoritmo!G50,"◄◄",""),IF(algoritmo!I50+algoritmo!B51=$O$14,"Ciclo com Lucro",IF(algoritmo!H51=$O$13-$O$14+1,"Ciclo com Perda"," "&amp;($O$13-$O$14-algoritmo!H51)&amp;""))))</f>
        <v/>
      </c>
      <c r="K51" s="51" t="e">
        <f>IF(#REF!="Progressivo",algoritmo!E51,"")</f>
        <v>#REF!</v>
      </c>
      <c r="L51" s="52" t="e">
        <f>IF(#REF!="Progressivo",IF(K51="","",K51),"")</f>
        <v>#REF!</v>
      </c>
      <c r="N51" s="26"/>
      <c r="O51" s="26"/>
      <c r="P51" s="26"/>
      <c r="Q51" s="26"/>
      <c r="R51" s="26"/>
      <c r="S51" s="26"/>
    </row>
    <row r="52" spans="2:19" ht="13.5" customHeight="1">
      <c r="B52" s="36"/>
      <c r="C52" s="37" t="str">
        <f t="shared" si="1"/>
        <v/>
      </c>
      <c r="D52" s="37"/>
      <c r="E52" s="38" t="str">
        <f>IFERROR(algoritmo!C52,"")</f>
        <v/>
      </c>
      <c r="F52" s="38" t="str">
        <f>IFERROR(IF(algoritmo!D52=0,-E52,algoritmo!D52),"")</f>
        <v/>
      </c>
      <c r="G52" s="39" t="str">
        <f>IFERROR(algoritmo!F52,"")</f>
        <v/>
      </c>
      <c r="H52" s="40" t="str">
        <f t="shared" si="0"/>
        <v/>
      </c>
      <c r="I52" s="53" t="str">
        <f>IFERROR(algoritmo!J52,"")</f>
        <v/>
      </c>
      <c r="J52" s="54" t="str">
        <f>IF(G52="","",IF(algoritmo!$L$4=1,IF(algoritmo!F52&gt;=algoritmo!G51,"◄◄",""),IF(algoritmo!I51+algoritmo!B52=$O$14,"Ciclo com Lucro",IF(algoritmo!H52=$O$13-$O$14+1,"Ciclo com Perda"," "&amp;($O$13-$O$14-algoritmo!H52)&amp;""))))</f>
        <v/>
      </c>
      <c r="K52" s="51" t="e">
        <f>IF(#REF!="Progressivo",algoritmo!E52,"")</f>
        <v>#REF!</v>
      </c>
      <c r="L52" s="52" t="e">
        <f>IF(#REF!="Progressivo",IF(K52="","",K52),"")</f>
        <v>#REF!</v>
      </c>
      <c r="N52" s="26"/>
      <c r="O52" s="26"/>
      <c r="P52" s="26"/>
      <c r="Q52" s="26"/>
      <c r="R52" s="26"/>
      <c r="S52" s="26"/>
    </row>
    <row r="53" spans="2:19" ht="13.5" customHeight="1">
      <c r="B53" s="41"/>
      <c r="C53" s="42" t="str">
        <f t="shared" si="1"/>
        <v/>
      </c>
      <c r="D53" s="42"/>
      <c r="E53" s="43" t="str">
        <f>IFERROR(algoritmo!C53,"")</f>
        <v/>
      </c>
      <c r="F53" s="43" t="str">
        <f>IFERROR(IF(algoritmo!D53=0,-E53,algoritmo!D53),"")</f>
        <v/>
      </c>
      <c r="G53" s="44" t="str">
        <f>IFERROR(algoritmo!F53,"")</f>
        <v/>
      </c>
      <c r="H53" s="45" t="str">
        <f t="shared" si="0"/>
        <v/>
      </c>
      <c r="I53" s="55" t="str">
        <f>IFERROR(algoritmo!J53,"")</f>
        <v/>
      </c>
      <c r="J53" s="56" t="str">
        <f>IF(G53="","",IF(algoritmo!$L$4=1,IF(algoritmo!F53&gt;=algoritmo!G52,"◄◄",""),IF(algoritmo!I52+algoritmo!B53=$O$14,"Ciclo com Lucro",IF(algoritmo!H53=$O$13-$O$14+1,"Ciclo com Perda"," "&amp;($O$13-$O$14-algoritmo!H53)&amp;""))))</f>
        <v/>
      </c>
      <c r="K53" s="51" t="e">
        <f>IF(#REF!="Progressivo",algoritmo!E53,"")</f>
        <v>#REF!</v>
      </c>
      <c r="L53" s="52" t="e">
        <f>IF(#REF!="Progressivo",IF(K53="","",K53),"")</f>
        <v>#REF!</v>
      </c>
      <c r="N53" s="26"/>
      <c r="O53" s="26"/>
      <c r="P53" s="26"/>
      <c r="Q53" s="26"/>
      <c r="R53" s="26"/>
      <c r="S53" s="26"/>
    </row>
    <row r="54" spans="2:19" ht="13.5" customHeight="1">
      <c r="B54" s="36"/>
      <c r="C54" s="37" t="str">
        <f t="shared" si="1"/>
        <v/>
      </c>
      <c r="D54" s="37"/>
      <c r="E54" s="38" t="str">
        <f>IFERROR(algoritmo!C54,"")</f>
        <v/>
      </c>
      <c r="F54" s="38" t="str">
        <f>IFERROR(IF(algoritmo!D54=0,-E54,algoritmo!D54),"")</f>
        <v/>
      </c>
      <c r="G54" s="39" t="str">
        <f>IFERROR(algoritmo!F54,"")</f>
        <v/>
      </c>
      <c r="H54" s="40" t="str">
        <f t="shared" si="0"/>
        <v/>
      </c>
      <c r="I54" s="53" t="str">
        <f>IFERROR(algoritmo!J54,"")</f>
        <v/>
      </c>
      <c r="J54" s="54" t="str">
        <f>IF(G54="","",IF(algoritmo!$L$4=1,IF(algoritmo!F54&gt;=algoritmo!G53,"◄◄",""),IF(algoritmo!I53+algoritmo!B54=$O$14,"Ciclo com Lucro",IF(algoritmo!H54=$O$13-$O$14+1,"Ciclo com Perda"," "&amp;($O$13-$O$14-algoritmo!H54)&amp;""))))</f>
        <v/>
      </c>
      <c r="K54" s="51" t="e">
        <f>IF(#REF!="Progressivo",algoritmo!E54,"")</f>
        <v>#REF!</v>
      </c>
      <c r="L54" s="52" t="e">
        <f>IF(#REF!="Progressivo",IF(K54="","",K54),"")</f>
        <v>#REF!</v>
      </c>
      <c r="N54" s="26"/>
      <c r="O54" s="26"/>
      <c r="P54" s="26"/>
      <c r="Q54" s="26"/>
      <c r="R54" s="26"/>
      <c r="S54" s="26"/>
    </row>
    <row r="55" spans="2:19" ht="13.5" customHeight="1">
      <c r="B55" s="41"/>
      <c r="C55" s="42" t="str">
        <f t="shared" si="1"/>
        <v/>
      </c>
      <c r="D55" s="42"/>
      <c r="E55" s="43" t="str">
        <f>IFERROR(algoritmo!C55,"")</f>
        <v/>
      </c>
      <c r="F55" s="43" t="str">
        <f>IFERROR(IF(algoritmo!D55=0,-E55,algoritmo!D55),"")</f>
        <v/>
      </c>
      <c r="G55" s="44" t="str">
        <f>IFERROR(algoritmo!F55,"")</f>
        <v/>
      </c>
      <c r="H55" s="45" t="str">
        <f t="shared" si="0"/>
        <v/>
      </c>
      <c r="I55" s="55" t="str">
        <f>IFERROR(algoritmo!J55,"")</f>
        <v/>
      </c>
      <c r="J55" s="56" t="str">
        <f>IF(G55="","",IF(algoritmo!$L$4=1,IF(algoritmo!F55&gt;=algoritmo!G54,"◄◄",""),IF(algoritmo!I54+algoritmo!B55=$O$14,"Ciclo com Lucro",IF(algoritmo!H55=$O$13-$O$14+1,"Ciclo com Perda"," "&amp;($O$13-$O$14-algoritmo!H55)&amp;""))))</f>
        <v/>
      </c>
      <c r="K55" s="51" t="e">
        <f>IF(#REF!="Progressivo",algoritmo!E55,"")</f>
        <v>#REF!</v>
      </c>
      <c r="L55" s="52" t="e">
        <f>IF(#REF!="Progressivo",IF(K55="","",K55),"")</f>
        <v>#REF!</v>
      </c>
      <c r="N55" s="26"/>
      <c r="O55" s="26"/>
      <c r="P55" s="26"/>
      <c r="Q55" s="26"/>
      <c r="R55" s="26"/>
      <c r="S55" s="26"/>
    </row>
    <row r="56" spans="2:19" ht="13.5" customHeight="1">
      <c r="B56" s="36"/>
      <c r="C56" s="37" t="str">
        <f t="shared" si="1"/>
        <v/>
      </c>
      <c r="D56" s="37"/>
      <c r="E56" s="38" t="str">
        <f>IFERROR(algoritmo!C56,"")</f>
        <v/>
      </c>
      <c r="F56" s="38" t="str">
        <f>IFERROR(IF(algoritmo!D56=0,-E56,algoritmo!D56),"")</f>
        <v/>
      </c>
      <c r="G56" s="39" t="str">
        <f>IFERROR(algoritmo!F56,"")</f>
        <v/>
      </c>
      <c r="H56" s="40" t="str">
        <f t="shared" si="0"/>
        <v/>
      </c>
      <c r="I56" s="53" t="str">
        <f>IFERROR(algoritmo!J56,"")</f>
        <v/>
      </c>
      <c r="J56" s="54" t="str">
        <f>IF(G56="","",IF(algoritmo!$L$4=1,IF(algoritmo!F56&gt;=algoritmo!G55,"◄◄",""),IF(algoritmo!I55+algoritmo!B56=$O$14,"Ciclo com Lucro",IF(algoritmo!H56=$O$13-$O$14+1,"Ciclo com Perda"," "&amp;($O$13-$O$14-algoritmo!H56)&amp;""))))</f>
        <v/>
      </c>
      <c r="K56" s="51" t="e">
        <f>IF(#REF!="Progressivo",algoritmo!E56,"")</f>
        <v>#REF!</v>
      </c>
      <c r="L56" s="52" t="e">
        <f>IF(#REF!="Progressivo",IF(K56="","",K56),"")</f>
        <v>#REF!</v>
      </c>
      <c r="N56" s="26"/>
      <c r="O56" s="26"/>
      <c r="P56" s="26"/>
      <c r="Q56" s="26"/>
      <c r="R56" s="26"/>
      <c r="S56" s="26"/>
    </row>
    <row r="57" spans="2:19" ht="13.5" customHeight="1">
      <c r="B57" s="41"/>
      <c r="C57" s="42" t="str">
        <f t="shared" si="1"/>
        <v/>
      </c>
      <c r="D57" s="42"/>
      <c r="E57" s="43" t="str">
        <f>IFERROR(algoritmo!C57,"")</f>
        <v/>
      </c>
      <c r="F57" s="43" t="str">
        <f>IFERROR(IF(algoritmo!D57=0,-E57,algoritmo!D57),"")</f>
        <v/>
      </c>
      <c r="G57" s="44" t="str">
        <f>IFERROR(algoritmo!F57,"")</f>
        <v/>
      </c>
      <c r="H57" s="45" t="str">
        <f t="shared" si="0"/>
        <v/>
      </c>
      <c r="I57" s="55" t="str">
        <f>IFERROR(algoritmo!J57,"")</f>
        <v/>
      </c>
      <c r="J57" s="56" t="str">
        <f>IF(G57="","",IF(algoritmo!$L$4=1,IF(algoritmo!F57&gt;=algoritmo!G56,"◄◄",""),IF(algoritmo!I56+algoritmo!B57=$O$14,"Ciclo com Lucro",IF(algoritmo!H57=$O$13-$O$14+1,"Ciclo com Perda"," "&amp;($O$13-$O$14-algoritmo!H57)&amp;""))))</f>
        <v/>
      </c>
      <c r="K57" s="51" t="e">
        <f>IF(#REF!="Progressivo",algoritmo!E57,"")</f>
        <v>#REF!</v>
      </c>
      <c r="L57" s="52" t="e">
        <f>IF(#REF!="Progressivo",IF(K57="","",K57),"")</f>
        <v>#REF!</v>
      </c>
      <c r="N57" s="26"/>
      <c r="O57" s="26"/>
      <c r="P57" s="26"/>
      <c r="Q57" s="26"/>
      <c r="R57" s="26"/>
      <c r="S57" s="26"/>
    </row>
    <row r="58" spans="2:19" ht="13.5" customHeight="1">
      <c r="B58" s="36"/>
      <c r="C58" s="37" t="str">
        <f t="shared" si="1"/>
        <v/>
      </c>
      <c r="D58" s="37"/>
      <c r="E58" s="38" t="str">
        <f>IFERROR(algoritmo!C58,"")</f>
        <v/>
      </c>
      <c r="F58" s="38" t="str">
        <f>IFERROR(IF(algoritmo!D58=0,-E58,algoritmo!D58),"")</f>
        <v/>
      </c>
      <c r="G58" s="39" t="str">
        <f>IFERROR(algoritmo!F58,"")</f>
        <v/>
      </c>
      <c r="H58" s="40" t="str">
        <f t="shared" si="0"/>
        <v/>
      </c>
      <c r="I58" s="53" t="str">
        <f>IFERROR(algoritmo!J58,"")</f>
        <v/>
      </c>
      <c r="J58" s="54" t="str">
        <f>IF(G58="","",IF(algoritmo!$L$4=1,IF(algoritmo!F58&gt;=algoritmo!G57,"◄◄",""),IF(algoritmo!I57+algoritmo!B58=$O$14,"Ciclo com Lucro",IF(algoritmo!H58=$O$13-$O$14+1,"Ciclo com Perda"," "&amp;($O$13-$O$14-algoritmo!H58)&amp;""))))</f>
        <v/>
      </c>
      <c r="K58" s="51" t="e">
        <f>IF(#REF!="Progressivo",algoritmo!E58,"")</f>
        <v>#REF!</v>
      </c>
      <c r="L58" s="52" t="e">
        <f>IF(#REF!="Progressivo",IF(K58="","",K58),"")</f>
        <v>#REF!</v>
      </c>
      <c r="N58" s="26"/>
      <c r="O58" s="26"/>
      <c r="P58" s="26"/>
      <c r="Q58" s="26"/>
      <c r="R58" s="26"/>
      <c r="S58" s="26"/>
    </row>
    <row r="59" spans="2:19" ht="13.5" customHeight="1">
      <c r="B59" s="41"/>
      <c r="C59" s="42" t="str">
        <f t="shared" si="1"/>
        <v/>
      </c>
      <c r="D59" s="42"/>
      <c r="E59" s="43" t="str">
        <f>IFERROR(algoritmo!C59,"")</f>
        <v/>
      </c>
      <c r="F59" s="43" t="str">
        <f>IFERROR(IF(algoritmo!D59=0,-E59,algoritmo!D59),"")</f>
        <v/>
      </c>
      <c r="G59" s="44" t="str">
        <f>IFERROR(algoritmo!F59,"")</f>
        <v/>
      </c>
      <c r="H59" s="45" t="str">
        <f t="shared" si="0"/>
        <v/>
      </c>
      <c r="I59" s="55" t="str">
        <f>IFERROR(algoritmo!J59,"")</f>
        <v/>
      </c>
      <c r="J59" s="56" t="str">
        <f>IF(G59="","",IF(algoritmo!$L$4=1,IF(algoritmo!F59&gt;=algoritmo!G58,"◄◄",""),IF(algoritmo!I58+algoritmo!B59=$O$14,"Ciclo com Lucro",IF(algoritmo!H59=$O$13-$O$14+1,"Ciclo com Perda"," "&amp;($O$13-$O$14-algoritmo!H59)&amp;""))))</f>
        <v/>
      </c>
      <c r="K59" s="51" t="e">
        <f>IF(#REF!="Progressivo",algoritmo!E59,"")</f>
        <v>#REF!</v>
      </c>
      <c r="L59" s="52" t="e">
        <f>IF(#REF!="Progressivo",IF(K59="","",K59),"")</f>
        <v>#REF!</v>
      </c>
      <c r="N59" s="26"/>
      <c r="O59" s="26"/>
      <c r="P59" s="26"/>
      <c r="Q59" s="26"/>
      <c r="R59" s="26"/>
      <c r="S59" s="26"/>
    </row>
    <row r="60" spans="2:19" ht="13.5" customHeight="1">
      <c r="B60" s="36"/>
      <c r="C60" s="37" t="str">
        <f t="shared" si="1"/>
        <v/>
      </c>
      <c r="D60" s="37"/>
      <c r="E60" s="38" t="str">
        <f>IFERROR(algoritmo!C60,"")</f>
        <v/>
      </c>
      <c r="F60" s="38" t="str">
        <f>IFERROR(IF(algoritmo!D60=0,-E60,algoritmo!D60),"")</f>
        <v/>
      </c>
      <c r="G60" s="39" t="str">
        <f>IFERROR(algoritmo!F60,"")</f>
        <v/>
      </c>
      <c r="H60" s="40" t="str">
        <f t="shared" si="0"/>
        <v/>
      </c>
      <c r="I60" s="53" t="str">
        <f>IFERROR(algoritmo!J60,"")</f>
        <v/>
      </c>
      <c r="J60" s="54" t="str">
        <f>IF(G60="","",IF(algoritmo!$L$4=1,IF(algoritmo!F60&gt;=algoritmo!G59,"◄◄",""),IF(algoritmo!I59+algoritmo!B60=$O$14,"Ciclo com Lucro",IF(algoritmo!H60=$O$13-$O$14+1,"Ciclo com Perda"," "&amp;($O$13-$O$14-algoritmo!H60)&amp;""))))</f>
        <v/>
      </c>
      <c r="K60" s="51" t="e">
        <f>IF(#REF!="Progressivo",algoritmo!E60,"")</f>
        <v>#REF!</v>
      </c>
      <c r="L60" s="52" t="e">
        <f>IF(#REF!="Progressivo",IF(K60="","",K60),"")</f>
        <v>#REF!</v>
      </c>
      <c r="N60" s="26"/>
      <c r="O60" s="26"/>
      <c r="P60" s="26"/>
      <c r="Q60" s="26"/>
      <c r="R60" s="26"/>
      <c r="S60" s="26"/>
    </row>
    <row r="61" spans="2:19" ht="13.5" customHeight="1">
      <c r="B61" s="41"/>
      <c r="C61" s="42" t="str">
        <f t="shared" si="1"/>
        <v/>
      </c>
      <c r="D61" s="42"/>
      <c r="E61" s="43" t="str">
        <f>IFERROR(algoritmo!C61,"")</f>
        <v/>
      </c>
      <c r="F61" s="43" t="str">
        <f>IFERROR(IF(algoritmo!D61=0,-E61,algoritmo!D61),"")</f>
        <v/>
      </c>
      <c r="G61" s="44" t="str">
        <f>IFERROR(algoritmo!F61,"")</f>
        <v/>
      </c>
      <c r="H61" s="45" t="str">
        <f t="shared" si="0"/>
        <v/>
      </c>
      <c r="I61" s="55" t="str">
        <f>IFERROR(algoritmo!J61,"")</f>
        <v/>
      </c>
      <c r="J61" s="56" t="str">
        <f>IF(G61="","",IF(algoritmo!$L$4=1,IF(algoritmo!F61&gt;=algoritmo!G60,"◄◄",""),IF(algoritmo!I60+algoritmo!B61=$O$14,"Ciclo com Lucro",IF(algoritmo!H61=$O$13-$O$14+1,"Ciclo com Perda"," "&amp;($O$13-$O$14-algoritmo!H61)&amp;""))))</f>
        <v/>
      </c>
      <c r="K61" s="51" t="e">
        <f>IF(#REF!="Progressivo",algoritmo!E61,"")</f>
        <v>#REF!</v>
      </c>
      <c r="L61" s="52" t="e">
        <f>IF(#REF!="Progressivo",IF(K61="","",K61),"")</f>
        <v>#REF!</v>
      </c>
      <c r="N61" s="26"/>
      <c r="O61" s="26"/>
      <c r="P61" s="26"/>
      <c r="Q61" s="26"/>
      <c r="R61" s="26"/>
      <c r="S61" s="26"/>
    </row>
    <row r="62" spans="2:19" ht="13.5" customHeight="1">
      <c r="B62" s="36"/>
      <c r="C62" s="37" t="str">
        <f t="shared" si="1"/>
        <v/>
      </c>
      <c r="D62" s="37"/>
      <c r="E62" s="38" t="str">
        <f>IFERROR(algoritmo!C62,"")</f>
        <v/>
      </c>
      <c r="F62" s="38" t="str">
        <f>IFERROR(IF(algoritmo!D62=0,-E62,algoritmo!D62),"")</f>
        <v/>
      </c>
      <c r="G62" s="39" t="str">
        <f>IFERROR(algoritmo!F62,"")</f>
        <v/>
      </c>
      <c r="H62" s="40" t="str">
        <f t="shared" si="0"/>
        <v/>
      </c>
      <c r="I62" s="53" t="str">
        <f>IFERROR(algoritmo!J62,"")</f>
        <v/>
      </c>
      <c r="J62" s="54" t="str">
        <f>IF(G62="","",IF(algoritmo!$L$4=1,IF(algoritmo!F62&gt;=algoritmo!G61,"◄◄",""),IF(algoritmo!I61+algoritmo!B62=$O$14,"Ciclo com Lucro",IF(algoritmo!H62=$O$13-$O$14+1,"Ciclo com Perda"," "&amp;($O$13-$O$14-algoritmo!H62)&amp;""))))</f>
        <v/>
      </c>
      <c r="K62" s="51" t="e">
        <f>IF(#REF!="Progressivo",algoritmo!E62,"")</f>
        <v>#REF!</v>
      </c>
      <c r="L62" s="52" t="e">
        <f>IF(#REF!="Progressivo",IF(K62="","",K62),"")</f>
        <v>#REF!</v>
      </c>
      <c r="N62" s="26"/>
      <c r="O62" s="26"/>
      <c r="P62" s="26"/>
      <c r="Q62" s="26"/>
      <c r="R62" s="26"/>
      <c r="S62" s="26"/>
    </row>
    <row r="63" spans="2:19" ht="13.5" customHeight="1">
      <c r="B63" s="41"/>
      <c r="C63" s="42" t="str">
        <f t="shared" si="1"/>
        <v/>
      </c>
      <c r="D63" s="42"/>
      <c r="E63" s="43" t="str">
        <f>IFERROR(algoritmo!C63,"")</f>
        <v/>
      </c>
      <c r="F63" s="43" t="str">
        <f>IFERROR(IF(algoritmo!D63=0,-E63,algoritmo!D63),"")</f>
        <v/>
      </c>
      <c r="G63" s="44" t="str">
        <f>IFERROR(algoritmo!F63,"")</f>
        <v/>
      </c>
      <c r="H63" s="45" t="str">
        <f t="shared" si="0"/>
        <v/>
      </c>
      <c r="I63" s="55" t="str">
        <f>IFERROR(algoritmo!J63,"")</f>
        <v/>
      </c>
      <c r="J63" s="56" t="str">
        <f>IF(G63="","",IF(algoritmo!$L$4=1,IF(algoritmo!F63&gt;=algoritmo!G62,"◄◄",""),IF(algoritmo!I62+algoritmo!B63=$O$14,"Ciclo com Lucro",IF(algoritmo!H63=$O$13-$O$14+1,"Ciclo com Perda"," "&amp;($O$13-$O$14-algoritmo!H63)&amp;""))))</f>
        <v/>
      </c>
      <c r="K63" s="51" t="e">
        <f>IF(#REF!="Progressivo",algoritmo!E63,"")</f>
        <v>#REF!</v>
      </c>
      <c r="L63" s="52" t="e">
        <f>IF(#REF!="Progressivo",IF(K63="","",K63),"")</f>
        <v>#REF!</v>
      </c>
      <c r="N63" s="26"/>
      <c r="O63" s="26"/>
      <c r="P63" s="26"/>
      <c r="Q63" s="26"/>
      <c r="R63" s="26"/>
      <c r="S63" s="26"/>
    </row>
    <row r="64" spans="2:19" ht="13.5" customHeight="1">
      <c r="B64" s="36"/>
      <c r="C64" s="37" t="str">
        <f t="shared" si="1"/>
        <v/>
      </c>
      <c r="D64" s="37"/>
      <c r="E64" s="38" t="str">
        <f>IFERROR(algoritmo!C64,"")</f>
        <v/>
      </c>
      <c r="F64" s="38" t="str">
        <f>IFERROR(IF(algoritmo!D64=0,-E64,algoritmo!D64),"")</f>
        <v/>
      </c>
      <c r="G64" s="39" t="str">
        <f>IFERROR(algoritmo!F64,"")</f>
        <v/>
      </c>
      <c r="H64" s="40" t="str">
        <f t="shared" si="0"/>
        <v/>
      </c>
      <c r="I64" s="53" t="str">
        <f>IFERROR(algoritmo!J64,"")</f>
        <v/>
      </c>
      <c r="J64" s="54" t="str">
        <f>IF(G64="","",IF(algoritmo!$L$4=1,IF(algoritmo!F64&gt;=algoritmo!G63,"◄◄",""),IF(algoritmo!I63+algoritmo!B64=$O$14,"Ciclo com Lucro",IF(algoritmo!H64=$O$13-$O$14+1,"Ciclo com Perda"," "&amp;($O$13-$O$14-algoritmo!H64)&amp;""))))</f>
        <v/>
      </c>
      <c r="K64" s="51" t="e">
        <f>IF(#REF!="Progressivo",algoritmo!E64,"")</f>
        <v>#REF!</v>
      </c>
      <c r="L64" s="52" t="e">
        <f>IF(#REF!="Progressivo",IF(K64="","",K64),"")</f>
        <v>#REF!</v>
      </c>
      <c r="N64" s="26"/>
      <c r="O64" s="26"/>
      <c r="P64" s="26"/>
      <c r="Q64" s="26"/>
      <c r="R64" s="26"/>
      <c r="S64" s="26"/>
    </row>
    <row r="65" spans="2:19" ht="13.5" customHeight="1">
      <c r="B65" s="41"/>
      <c r="C65" s="42" t="str">
        <f t="shared" si="1"/>
        <v/>
      </c>
      <c r="D65" s="42"/>
      <c r="E65" s="43" t="str">
        <f>IFERROR(algoritmo!C65,"")</f>
        <v/>
      </c>
      <c r="F65" s="43" t="str">
        <f>IFERROR(IF(algoritmo!D65=0,-E65,algoritmo!D65),"")</f>
        <v/>
      </c>
      <c r="G65" s="44" t="str">
        <f>IFERROR(algoritmo!F65,"")</f>
        <v/>
      </c>
      <c r="H65" s="45" t="str">
        <f t="shared" si="0"/>
        <v/>
      </c>
      <c r="I65" s="55" t="str">
        <f>IFERROR(algoritmo!J65,"")</f>
        <v/>
      </c>
      <c r="J65" s="56" t="str">
        <f>IF(G65="","",IF(algoritmo!$L$4=1,IF(algoritmo!F65&gt;=algoritmo!G64,"◄◄",""),IF(algoritmo!I64+algoritmo!B65=$O$14,"Ciclo com Lucro",IF(algoritmo!H65=$O$13-$O$14+1,"Ciclo com Perda"," "&amp;($O$13-$O$14-algoritmo!H65)&amp;""))))</f>
        <v/>
      </c>
      <c r="K65" s="51" t="e">
        <f>IF(#REF!="Progressivo",algoritmo!E65,"")</f>
        <v>#REF!</v>
      </c>
      <c r="L65" s="52" t="e">
        <f>IF(#REF!="Progressivo",IF(K65="","",K65),"")</f>
        <v>#REF!</v>
      </c>
      <c r="N65" s="26"/>
      <c r="O65" s="26"/>
      <c r="P65" s="26"/>
      <c r="Q65" s="26"/>
      <c r="R65" s="26"/>
      <c r="S65" s="26"/>
    </row>
    <row r="66" spans="2:19" ht="13.5" customHeight="1">
      <c r="B66" s="36"/>
      <c r="C66" s="37" t="str">
        <f t="shared" si="1"/>
        <v/>
      </c>
      <c r="D66" s="37"/>
      <c r="E66" s="38" t="str">
        <f>IFERROR(algoritmo!C66,"")</f>
        <v/>
      </c>
      <c r="F66" s="38" t="str">
        <f>IFERROR(IF(algoritmo!D66=0,-E66,algoritmo!D66),"")</f>
        <v/>
      </c>
      <c r="G66" s="39" t="str">
        <f>IFERROR(algoritmo!F66,"")</f>
        <v/>
      </c>
      <c r="H66" s="40" t="str">
        <f t="shared" si="0"/>
        <v/>
      </c>
      <c r="I66" s="53" t="str">
        <f>IFERROR(algoritmo!J66,"")</f>
        <v/>
      </c>
      <c r="J66" s="54" t="str">
        <f>IF(G66="","",IF(algoritmo!$L$4=1,IF(algoritmo!F66&gt;=algoritmo!G65,"◄◄",""),IF(algoritmo!I65+algoritmo!B66=$O$14,"Ciclo com Lucro",IF(algoritmo!H66=$O$13-$O$14+1,"Ciclo com Perda"," "&amp;($O$13-$O$14-algoritmo!H66)&amp;""))))</f>
        <v/>
      </c>
      <c r="K66" s="51" t="e">
        <f>IF(#REF!="Progressivo",algoritmo!E66,"")</f>
        <v>#REF!</v>
      </c>
      <c r="L66" s="52" t="e">
        <f>IF(#REF!="Progressivo",IF(K66="","",K66),"")</f>
        <v>#REF!</v>
      </c>
      <c r="N66" s="26"/>
      <c r="O66" s="26"/>
      <c r="P66" s="26"/>
      <c r="Q66" s="26"/>
      <c r="R66" s="26"/>
      <c r="S66" s="26"/>
    </row>
    <row r="67" spans="2:19" ht="13.5" customHeight="1">
      <c r="B67" s="41"/>
      <c r="C67" s="42" t="str">
        <f t="shared" si="1"/>
        <v/>
      </c>
      <c r="D67" s="42"/>
      <c r="E67" s="43" t="str">
        <f>IFERROR(algoritmo!C67,"")</f>
        <v/>
      </c>
      <c r="F67" s="43" t="str">
        <f>IFERROR(IF(algoritmo!D67=0,-E67,algoritmo!D67),"")</f>
        <v/>
      </c>
      <c r="G67" s="44" t="str">
        <f>IFERROR(algoritmo!F67,"")</f>
        <v/>
      </c>
      <c r="H67" s="45" t="str">
        <f t="shared" si="0"/>
        <v/>
      </c>
      <c r="I67" s="55" t="str">
        <f>IFERROR(algoritmo!J67,"")</f>
        <v/>
      </c>
      <c r="J67" s="56" t="str">
        <f>IF(G67="","",IF(algoritmo!$L$4=1,IF(algoritmo!F67&gt;=algoritmo!G66,"◄◄",""),IF(algoritmo!I66+algoritmo!B67=$O$14,"Ciclo com Lucro",IF(algoritmo!H67=$O$13-$O$14+1,"Ciclo com Perda"," "&amp;($O$13-$O$14-algoritmo!H67)&amp;""))))</f>
        <v/>
      </c>
      <c r="K67" s="51" t="e">
        <f>IF(#REF!="Progressivo",algoritmo!E67,"")</f>
        <v>#REF!</v>
      </c>
      <c r="L67" s="52" t="e">
        <f>IF(#REF!="Progressivo",IF(K67="","",K67),"")</f>
        <v>#REF!</v>
      </c>
      <c r="N67" s="26"/>
      <c r="O67" s="26"/>
      <c r="P67" s="26"/>
      <c r="Q67" s="26"/>
      <c r="R67" s="26"/>
      <c r="S67" s="26"/>
    </row>
    <row r="68" spans="2:19" ht="13.5" customHeight="1">
      <c r="B68" s="36"/>
      <c r="C68" s="37" t="str">
        <f t="shared" si="1"/>
        <v/>
      </c>
      <c r="D68" s="37"/>
      <c r="E68" s="38" t="str">
        <f>IFERROR(algoritmo!C68,"")</f>
        <v/>
      </c>
      <c r="F68" s="38" t="str">
        <f>IFERROR(IF(algoritmo!D68=0,-E68,algoritmo!D68),"")</f>
        <v/>
      </c>
      <c r="G68" s="39" t="str">
        <f>IFERROR(algoritmo!F68,"")</f>
        <v/>
      </c>
      <c r="H68" s="40" t="str">
        <f t="shared" si="0"/>
        <v/>
      </c>
      <c r="I68" s="53" t="str">
        <f>IFERROR(algoritmo!J68,"")</f>
        <v/>
      </c>
      <c r="J68" s="54" t="str">
        <f>IF(G68="","",IF(algoritmo!$L$4=1,IF(algoritmo!F68&gt;=algoritmo!G67,"◄◄",""),IF(algoritmo!I67+algoritmo!B68=$O$14,"Ciclo com Lucro",IF(algoritmo!H68=$O$13-$O$14+1,"Ciclo com Perda"," "&amp;($O$13-$O$14-algoritmo!H68)&amp;""))))</f>
        <v/>
      </c>
      <c r="K68" s="51" t="e">
        <f>IF(#REF!="Progressivo",algoritmo!E68,"")</f>
        <v>#REF!</v>
      </c>
      <c r="L68" s="52" t="e">
        <f>IF(#REF!="Progressivo",IF(K68="","",K68),"")</f>
        <v>#REF!</v>
      </c>
      <c r="N68" s="26"/>
      <c r="O68" s="26"/>
      <c r="P68" s="26"/>
      <c r="Q68" s="26"/>
      <c r="R68" s="26"/>
      <c r="S68" s="26"/>
    </row>
    <row r="69" spans="2:19" ht="13.5" customHeight="1">
      <c r="B69" s="41"/>
      <c r="C69" s="42" t="str">
        <f t="shared" si="1"/>
        <v/>
      </c>
      <c r="D69" s="42"/>
      <c r="E69" s="43" t="str">
        <f>IFERROR(algoritmo!C69,"")</f>
        <v/>
      </c>
      <c r="F69" s="43" t="str">
        <f>IFERROR(IF(algoritmo!D69=0,-E69,algoritmo!D69),"")</f>
        <v/>
      </c>
      <c r="G69" s="44" t="str">
        <f>IFERROR(algoritmo!F69,"")</f>
        <v/>
      </c>
      <c r="H69" s="45" t="str">
        <f t="shared" si="0"/>
        <v/>
      </c>
      <c r="I69" s="55" t="str">
        <f>IFERROR(algoritmo!J69,"")</f>
        <v/>
      </c>
      <c r="J69" s="56" t="str">
        <f>IF(G69="","",IF(algoritmo!$L$4=1,IF(algoritmo!F69&gt;=algoritmo!G68,"◄◄",""),IF(algoritmo!I68+algoritmo!B69=$O$14,"Ciclo com Lucro",IF(algoritmo!H69=$O$13-$O$14+1,"Ciclo com Perda"," "&amp;($O$13-$O$14-algoritmo!H69)&amp;""))))</f>
        <v/>
      </c>
      <c r="K69" s="51" t="e">
        <f>IF(#REF!="Progressivo",algoritmo!E69,"")</f>
        <v>#REF!</v>
      </c>
      <c r="L69" s="52" t="e">
        <f>IF(#REF!="Progressivo",IF(K69="","",K69),"")</f>
        <v>#REF!</v>
      </c>
      <c r="N69" s="26"/>
      <c r="O69" s="26"/>
      <c r="P69" s="26"/>
      <c r="Q69" s="26"/>
      <c r="R69" s="26"/>
      <c r="S69" s="26"/>
    </row>
    <row r="70" spans="2:19" ht="13.5" customHeight="1">
      <c r="B70" s="36"/>
      <c r="C70" s="37" t="str">
        <f t="shared" si="1"/>
        <v/>
      </c>
      <c r="D70" s="37"/>
      <c r="E70" s="38" t="str">
        <f>IFERROR(algoritmo!C70,"")</f>
        <v/>
      </c>
      <c r="F70" s="38" t="str">
        <f>IFERROR(IF(algoritmo!D70=0,-E70,algoritmo!D70),"")</f>
        <v/>
      </c>
      <c r="G70" s="39" t="str">
        <f>IFERROR(algoritmo!F70,"")</f>
        <v/>
      </c>
      <c r="H70" s="40" t="str">
        <f t="shared" si="0"/>
        <v/>
      </c>
      <c r="I70" s="53" t="str">
        <f>IFERROR(algoritmo!J70,"")</f>
        <v/>
      </c>
      <c r="J70" s="54" t="str">
        <f>IF(G70="","",IF(algoritmo!$L$4=1,IF(algoritmo!F70&gt;=algoritmo!G69,"◄◄",""),IF(algoritmo!I69+algoritmo!B70=$O$14,"Ciclo com Lucro",IF(algoritmo!H70=$O$13-$O$14+1,"Ciclo com Perda"," "&amp;($O$13-$O$14-algoritmo!H70)&amp;""))))</f>
        <v/>
      </c>
      <c r="K70" s="51" t="e">
        <f>IF(#REF!="Progressivo",algoritmo!E70,"")</f>
        <v>#REF!</v>
      </c>
      <c r="L70" s="52" t="e">
        <f>IF(#REF!="Progressivo",IF(K70="","",K70),"")</f>
        <v>#REF!</v>
      </c>
      <c r="N70" s="26"/>
      <c r="O70" s="26"/>
      <c r="P70" s="26"/>
      <c r="Q70" s="26"/>
      <c r="R70" s="26"/>
      <c r="S70" s="26"/>
    </row>
    <row r="71" spans="2:19" ht="13.5" customHeight="1">
      <c r="B71" s="41"/>
      <c r="C71" s="42" t="str">
        <f t="shared" si="1"/>
        <v/>
      </c>
      <c r="D71" s="42"/>
      <c r="E71" s="43" t="str">
        <f>IFERROR(algoritmo!C71,"")</f>
        <v/>
      </c>
      <c r="F71" s="43" t="str">
        <f>IFERROR(IF(algoritmo!D71=0,-E71,algoritmo!D71),"")</f>
        <v/>
      </c>
      <c r="G71" s="44" t="str">
        <f>IFERROR(algoritmo!F71,"")</f>
        <v/>
      </c>
      <c r="H71" s="45" t="str">
        <f t="shared" si="0"/>
        <v/>
      </c>
      <c r="I71" s="55" t="str">
        <f>IFERROR(algoritmo!J71,"")</f>
        <v/>
      </c>
      <c r="J71" s="56" t="str">
        <f>IF(G71="","",IF(algoritmo!$L$4=1,IF(algoritmo!F71&gt;=algoritmo!G70,"◄◄",""),IF(algoritmo!I70+algoritmo!B71=$O$14,"Ciclo com Lucro",IF(algoritmo!H71=$O$13-$O$14+1,"Ciclo com Perda"," "&amp;($O$13-$O$14-algoritmo!H71)&amp;""))))</f>
        <v/>
      </c>
      <c r="K71" s="51" t="e">
        <f>IF(#REF!="Progressivo",algoritmo!E71,"")</f>
        <v>#REF!</v>
      </c>
      <c r="L71" s="52" t="e">
        <f>IF(#REF!="Progressivo",IF(K71="","",K71),"")</f>
        <v>#REF!</v>
      </c>
      <c r="N71" s="26"/>
      <c r="O71" s="26"/>
      <c r="P71" s="26"/>
      <c r="Q71" s="26"/>
      <c r="R71" s="26"/>
      <c r="S71" s="26"/>
    </row>
    <row r="72" spans="2:19" ht="13.5" customHeight="1">
      <c r="B72" s="36"/>
      <c r="C72" s="37" t="str">
        <f t="shared" si="1"/>
        <v/>
      </c>
      <c r="D72" s="37"/>
      <c r="E72" s="38" t="str">
        <f>IFERROR(algoritmo!C72,"")</f>
        <v/>
      </c>
      <c r="F72" s="38" t="str">
        <f>IFERROR(IF(algoritmo!D72=0,-E72,algoritmo!D72),"")</f>
        <v/>
      </c>
      <c r="G72" s="39" t="str">
        <f>IFERROR(algoritmo!F72,"")</f>
        <v/>
      </c>
      <c r="H72" s="40" t="str">
        <f t="shared" si="0"/>
        <v/>
      </c>
      <c r="I72" s="53" t="str">
        <f>IFERROR(algoritmo!J72,"")</f>
        <v/>
      </c>
      <c r="J72" s="54" t="str">
        <f>IF(G72="","",IF(algoritmo!$L$4=1,IF(algoritmo!F72&gt;=algoritmo!G71,"◄◄",""),IF(algoritmo!I71+algoritmo!B72=$O$14,"Ciclo com Lucro",IF(algoritmo!H72=$O$13-$O$14+1,"Ciclo com Perda"," "&amp;($O$13-$O$14-algoritmo!H72)&amp;""))))</f>
        <v/>
      </c>
      <c r="K72" s="51" t="e">
        <f>IF(#REF!="Progressivo",algoritmo!E72,"")</f>
        <v>#REF!</v>
      </c>
      <c r="L72" s="52" t="e">
        <f>IF(#REF!="Progressivo",IF(K72="","",K72),"")</f>
        <v>#REF!</v>
      </c>
      <c r="N72" s="26"/>
      <c r="O72" s="26"/>
      <c r="P72" s="26"/>
      <c r="Q72" s="26"/>
      <c r="R72" s="26"/>
      <c r="S72" s="26"/>
    </row>
    <row r="73" spans="2:19" ht="13.5" customHeight="1">
      <c r="B73" s="41"/>
      <c r="C73" s="42" t="str">
        <f t="shared" si="1"/>
        <v/>
      </c>
      <c r="D73" s="42"/>
      <c r="E73" s="43" t="str">
        <f>IFERROR(algoritmo!C73,"")</f>
        <v/>
      </c>
      <c r="F73" s="43" t="str">
        <f>IFERROR(IF(algoritmo!D73=0,-E73,algoritmo!D73),"")</f>
        <v/>
      </c>
      <c r="G73" s="44" t="str">
        <f>IFERROR(algoritmo!F73,"")</f>
        <v/>
      </c>
      <c r="H73" s="45" t="str">
        <f t="shared" si="0"/>
        <v/>
      </c>
      <c r="I73" s="55" t="str">
        <f>IFERROR(algoritmo!J73,"")</f>
        <v/>
      </c>
      <c r="J73" s="56" t="str">
        <f>IF(G73="","",IF(algoritmo!$L$4=1,IF(algoritmo!F73&gt;=algoritmo!G72,"◄◄",""),IF(algoritmo!I72+algoritmo!B73=$O$14,"Ciclo com Lucro",IF(algoritmo!H73=$O$13-$O$14+1,"Ciclo com Perda"," "&amp;($O$13-$O$14-algoritmo!H73)&amp;""))))</f>
        <v/>
      </c>
      <c r="K73" s="51" t="e">
        <f>IF(#REF!="Progressivo",algoritmo!E73,"")</f>
        <v>#REF!</v>
      </c>
      <c r="L73" s="52" t="e">
        <f>IF(#REF!="Progressivo",IF(K73="","",K73),"")</f>
        <v>#REF!</v>
      </c>
      <c r="N73" s="26"/>
      <c r="O73" s="26"/>
      <c r="P73" s="26"/>
      <c r="Q73" s="26"/>
      <c r="R73" s="26"/>
      <c r="S73" s="26"/>
    </row>
    <row r="74" spans="2:19" ht="13.5" customHeight="1">
      <c r="B74" s="36"/>
      <c r="C74" s="37" t="str">
        <f t="shared" si="1"/>
        <v/>
      </c>
      <c r="D74" s="37"/>
      <c r="E74" s="38" t="str">
        <f>IFERROR(algoritmo!C74,"")</f>
        <v/>
      </c>
      <c r="F74" s="38" t="str">
        <f>IFERROR(IF(algoritmo!D74=0,-E74,algoritmo!D74),"")</f>
        <v/>
      </c>
      <c r="G74" s="39" t="str">
        <f>IFERROR(algoritmo!F74,"")</f>
        <v/>
      </c>
      <c r="H74" s="40" t="str">
        <f t="shared" si="0"/>
        <v/>
      </c>
      <c r="I74" s="53" t="str">
        <f>IFERROR(algoritmo!J74,"")</f>
        <v/>
      </c>
      <c r="J74" s="54" t="str">
        <f>IF(G74="","",IF(algoritmo!$L$4=1,IF(algoritmo!F74&gt;=algoritmo!G73,"◄◄",""),IF(algoritmo!I73+algoritmo!B74=$O$14,"Ciclo com Lucro",IF(algoritmo!H74=$O$13-$O$14+1,"Ciclo com Perda"," "&amp;($O$13-$O$14-algoritmo!H74)&amp;""))))</f>
        <v/>
      </c>
      <c r="K74" s="51" t="e">
        <f>IF(#REF!="Progressivo",algoritmo!E74,"")</f>
        <v>#REF!</v>
      </c>
      <c r="L74" s="52" t="e">
        <f>IF(#REF!="Progressivo",IF(K74="","",K74),"")</f>
        <v>#REF!</v>
      </c>
      <c r="N74" s="26"/>
      <c r="O74" s="26"/>
      <c r="P74" s="26"/>
      <c r="Q74" s="26"/>
      <c r="R74" s="26"/>
      <c r="S74" s="26"/>
    </row>
    <row r="75" spans="2:19" ht="13.5" customHeight="1">
      <c r="B75" s="41"/>
      <c r="C75" s="42" t="str">
        <f t="shared" si="1"/>
        <v/>
      </c>
      <c r="D75" s="42"/>
      <c r="E75" s="43" t="str">
        <f>IFERROR(algoritmo!C75,"")</f>
        <v/>
      </c>
      <c r="F75" s="43" t="str">
        <f>IFERROR(IF(algoritmo!D75=0,-E75,algoritmo!D75),"")</f>
        <v/>
      </c>
      <c r="G75" s="44" t="str">
        <f>IFERROR(algoritmo!F75,"")</f>
        <v/>
      </c>
      <c r="H75" s="45" t="str">
        <f t="shared" si="0"/>
        <v/>
      </c>
      <c r="I75" s="55" t="str">
        <f>IFERROR(algoritmo!J75,"")</f>
        <v/>
      </c>
      <c r="J75" s="56" t="str">
        <f>IF(G75="","",IF(algoritmo!$L$4=1,IF(algoritmo!F75&gt;=algoritmo!G74,"◄◄",""),IF(algoritmo!I74+algoritmo!B75=$O$14,"Ciclo com Lucro",IF(algoritmo!H75=$O$13-$O$14+1,"Ciclo com Perda"," "&amp;($O$13-$O$14-algoritmo!H75)&amp;""))))</f>
        <v/>
      </c>
      <c r="K75" s="51" t="e">
        <f>IF(#REF!="Progressivo",algoritmo!E75,"")</f>
        <v>#REF!</v>
      </c>
      <c r="L75" s="52" t="e">
        <f>IF(#REF!="Progressivo",IF(K75="","",K75),"")</f>
        <v>#REF!</v>
      </c>
      <c r="N75" s="26"/>
      <c r="O75" s="26"/>
      <c r="P75" s="26"/>
      <c r="Q75" s="26"/>
      <c r="R75" s="26"/>
      <c r="S75" s="26"/>
    </row>
    <row r="76" spans="2:19" ht="13.5" customHeight="1">
      <c r="B76" s="36"/>
      <c r="C76" s="37" t="str">
        <f t="shared" si="1"/>
        <v/>
      </c>
      <c r="D76" s="37"/>
      <c r="E76" s="38" t="str">
        <f>IFERROR(algoritmo!C76,"")</f>
        <v/>
      </c>
      <c r="F76" s="38" t="str">
        <f>IFERROR(IF(algoritmo!D76=0,-E76,algoritmo!D76),"")</f>
        <v/>
      </c>
      <c r="G76" s="39" t="str">
        <f>IFERROR(algoritmo!F76,"")</f>
        <v/>
      </c>
      <c r="H76" s="40" t="str">
        <f t="shared" si="0"/>
        <v/>
      </c>
      <c r="I76" s="53" t="str">
        <f>IFERROR(algoritmo!J76,"")</f>
        <v/>
      </c>
      <c r="J76" s="54" t="str">
        <f>IF(G76="","",IF(algoritmo!$L$4=1,IF(algoritmo!F76&gt;=algoritmo!G75,"◄◄",""),IF(algoritmo!I75+algoritmo!B76=$O$14,"Ciclo com Lucro",IF(algoritmo!H76=$O$13-$O$14+1,"Ciclo com Perda"," "&amp;($O$13-$O$14-algoritmo!H76)&amp;""))))</f>
        <v/>
      </c>
      <c r="K76" s="51" t="e">
        <f>IF(#REF!="Progressivo",algoritmo!E76,"")</f>
        <v>#REF!</v>
      </c>
      <c r="L76" s="52" t="e">
        <f>IF(#REF!="Progressivo",IF(K76="","",K76),"")</f>
        <v>#REF!</v>
      </c>
      <c r="N76" s="26"/>
      <c r="O76" s="26"/>
      <c r="P76" s="26"/>
      <c r="Q76" s="26"/>
      <c r="R76" s="26"/>
      <c r="S76" s="26"/>
    </row>
    <row r="77" spans="2:19" ht="13.5" customHeight="1">
      <c r="B77" s="41"/>
      <c r="C77" s="42" t="str">
        <f t="shared" si="1"/>
        <v/>
      </c>
      <c r="D77" s="42"/>
      <c r="E77" s="43" t="str">
        <f>IFERROR(algoritmo!C77,"")</f>
        <v/>
      </c>
      <c r="F77" s="43" t="str">
        <f>IFERROR(IF(algoritmo!D77=0,-E77,algoritmo!D77),"")</f>
        <v/>
      </c>
      <c r="G77" s="44" t="str">
        <f>IFERROR(algoritmo!F77,"")</f>
        <v/>
      </c>
      <c r="H77" s="45" t="str">
        <f t="shared" si="0"/>
        <v/>
      </c>
      <c r="I77" s="55" t="str">
        <f>IFERROR(algoritmo!J77,"")</f>
        <v/>
      </c>
      <c r="J77" s="56" t="str">
        <f>IF(G77="","",IF(algoritmo!$L$4=1,IF(algoritmo!F77&gt;=algoritmo!G76,"◄◄",""),IF(algoritmo!I76+algoritmo!B77=$O$14,"Ciclo com Lucro",IF(algoritmo!H77=$O$13-$O$14+1,"Ciclo com Perda"," "&amp;($O$13-$O$14-algoritmo!H77)&amp;""))))</f>
        <v/>
      </c>
      <c r="K77" s="51" t="e">
        <f>IF(#REF!="Progressivo",algoritmo!E77,"")</f>
        <v>#REF!</v>
      </c>
      <c r="L77" s="52" t="e">
        <f>IF(#REF!="Progressivo",IF(K77="","",K77),"")</f>
        <v>#REF!</v>
      </c>
      <c r="N77" s="26"/>
      <c r="O77" s="26"/>
      <c r="P77" s="26"/>
      <c r="Q77" s="26"/>
      <c r="R77" s="26"/>
      <c r="S77" s="26"/>
    </row>
    <row r="78" spans="2:19" ht="13.5" customHeight="1">
      <c r="B78" s="36"/>
      <c r="C78" s="37" t="str">
        <f t="shared" si="1"/>
        <v/>
      </c>
      <c r="D78" s="37"/>
      <c r="E78" s="38" t="str">
        <f>IFERROR(algoritmo!C78,"")</f>
        <v/>
      </c>
      <c r="F78" s="38" t="str">
        <f>IFERROR(IF(algoritmo!D78=0,-E78,algoritmo!D78),"")</f>
        <v/>
      </c>
      <c r="G78" s="39" t="str">
        <f>IFERROR(algoritmo!F78,"")</f>
        <v/>
      </c>
      <c r="H78" s="40" t="str">
        <f t="shared" si="0"/>
        <v/>
      </c>
      <c r="I78" s="53" t="str">
        <f>IFERROR(algoritmo!J78,"")</f>
        <v/>
      </c>
      <c r="J78" s="54" t="str">
        <f>IF(G78="","",IF(algoritmo!$L$4=1,IF(algoritmo!F78&gt;=algoritmo!G77,"◄◄",""),IF(algoritmo!I77+algoritmo!B78=$O$14,"Ciclo com Lucro",IF(algoritmo!H78=$O$13-$O$14+1,"Ciclo com Perda"," "&amp;($O$13-$O$14-algoritmo!H78)&amp;""))))</f>
        <v/>
      </c>
      <c r="K78" s="51" t="e">
        <f>IF(#REF!="Progressivo",algoritmo!E78,"")</f>
        <v>#REF!</v>
      </c>
      <c r="L78" s="52" t="e">
        <f>IF(#REF!="Progressivo",IF(K78="","",K78),"")</f>
        <v>#REF!</v>
      </c>
      <c r="N78" s="26"/>
      <c r="O78" s="26"/>
      <c r="P78" s="26"/>
      <c r="Q78" s="26"/>
      <c r="R78" s="26"/>
      <c r="S78" s="26"/>
    </row>
    <row r="79" spans="2:19" ht="13.5" customHeight="1">
      <c r="B79" s="41"/>
      <c r="C79" s="42" t="str">
        <f t="shared" si="1"/>
        <v/>
      </c>
      <c r="D79" s="42"/>
      <c r="E79" s="43" t="str">
        <f>IFERROR(algoritmo!C79,"")</f>
        <v/>
      </c>
      <c r="F79" s="43" t="str">
        <f>IFERROR(IF(algoritmo!D79=0,-E79,algoritmo!D79),"")</f>
        <v/>
      </c>
      <c r="G79" s="44" t="str">
        <f>IFERROR(algoritmo!F79,"")</f>
        <v/>
      </c>
      <c r="H79" s="45" t="str">
        <f t="shared" si="0"/>
        <v/>
      </c>
      <c r="I79" s="55" t="str">
        <f>IFERROR(algoritmo!J79,"")</f>
        <v/>
      </c>
      <c r="J79" s="56" t="str">
        <f>IF(G79="","",IF(algoritmo!$L$4=1,IF(algoritmo!F79&gt;=algoritmo!G78,"◄◄",""),IF(algoritmo!I78+algoritmo!B79=$O$14,"Ciclo com Lucro",IF(algoritmo!H79=$O$13-$O$14+1,"Ciclo com Perda"," "&amp;($O$13-$O$14-algoritmo!H79)&amp;""))))</f>
        <v/>
      </c>
      <c r="K79" s="51" t="e">
        <f>IF(#REF!="Progressivo",algoritmo!E79,"")</f>
        <v>#REF!</v>
      </c>
      <c r="L79" s="52" t="e">
        <f>IF(#REF!="Progressivo",IF(K79="","",K79),"")</f>
        <v>#REF!</v>
      </c>
      <c r="N79" s="26"/>
      <c r="O79" s="26"/>
      <c r="P79" s="26"/>
      <c r="Q79" s="26"/>
      <c r="R79" s="26"/>
      <c r="S79" s="26"/>
    </row>
    <row r="80" spans="2:19" ht="13.5" customHeight="1">
      <c r="B80" s="36"/>
      <c r="C80" s="37" t="str">
        <f t="shared" si="1"/>
        <v/>
      </c>
      <c r="D80" s="37"/>
      <c r="E80" s="38" t="str">
        <f>IFERROR(algoritmo!C80,"")</f>
        <v/>
      </c>
      <c r="F80" s="38" t="str">
        <f>IFERROR(IF(algoritmo!D80=0,-E80,algoritmo!D80),"")</f>
        <v/>
      </c>
      <c r="G80" s="39" t="str">
        <f>IFERROR(algoritmo!F80,"")</f>
        <v/>
      </c>
      <c r="H80" s="40" t="str">
        <f t="shared" si="0"/>
        <v/>
      </c>
      <c r="I80" s="53" t="str">
        <f>IFERROR(algoritmo!J80,"")</f>
        <v/>
      </c>
      <c r="J80" s="54" t="str">
        <f>IF(G80="","",IF(algoritmo!$L$4=1,IF(algoritmo!F80&gt;=algoritmo!G79,"◄◄",""),IF(algoritmo!I79+algoritmo!B80=$O$14,"Ciclo com Lucro",IF(algoritmo!H80=$O$13-$O$14+1,"Ciclo com Perda"," "&amp;($O$13-$O$14-algoritmo!H80)&amp;""))))</f>
        <v/>
      </c>
      <c r="K80" s="51" t="e">
        <f>IF(#REF!="Progressivo",algoritmo!E80,"")</f>
        <v>#REF!</v>
      </c>
      <c r="L80" s="52" t="e">
        <f>IF(#REF!="Progressivo",IF(K80="","",K80),"")</f>
        <v>#REF!</v>
      </c>
      <c r="N80" s="26"/>
      <c r="O80" s="26"/>
      <c r="P80" s="26"/>
      <c r="Q80" s="26"/>
      <c r="R80" s="26"/>
      <c r="S80" s="26"/>
    </row>
    <row r="81" spans="2:19" ht="13.5" customHeight="1">
      <c r="B81" s="41"/>
      <c r="C81" s="42" t="str">
        <f t="shared" si="1"/>
        <v/>
      </c>
      <c r="D81" s="42"/>
      <c r="E81" s="43" t="str">
        <f>IFERROR(algoritmo!C81,"")</f>
        <v/>
      </c>
      <c r="F81" s="43" t="str">
        <f>IFERROR(IF(algoritmo!D81=0,-E81,algoritmo!D81),"")</f>
        <v/>
      </c>
      <c r="G81" s="44" t="str">
        <f>IFERROR(algoritmo!F81,"")</f>
        <v/>
      </c>
      <c r="H81" s="45" t="str">
        <f t="shared" si="0"/>
        <v/>
      </c>
      <c r="I81" s="55" t="str">
        <f>IFERROR(algoritmo!J81,"")</f>
        <v/>
      </c>
      <c r="J81" s="56" t="str">
        <f>IF(G81="","",IF(algoritmo!$L$4=1,IF(algoritmo!F81&gt;=algoritmo!G80,"◄◄",""),IF(algoritmo!I80+algoritmo!B81=$O$14,"Ciclo com Lucro",IF(algoritmo!H81=$O$13-$O$14+1,"Ciclo com Perda"," "&amp;($O$13-$O$14-algoritmo!H81)&amp;""))))</f>
        <v/>
      </c>
      <c r="K81" s="51" t="e">
        <f>IF(#REF!="Progressivo",algoritmo!E81,"")</f>
        <v>#REF!</v>
      </c>
      <c r="L81" s="52" t="e">
        <f>IF(#REF!="Progressivo",IF(K81="","",K81),"")</f>
        <v>#REF!</v>
      </c>
      <c r="N81" s="26"/>
      <c r="O81" s="26"/>
      <c r="P81" s="26"/>
      <c r="Q81" s="26"/>
      <c r="R81" s="26"/>
      <c r="S81" s="26"/>
    </row>
    <row r="82" spans="2:19" ht="13.5" customHeight="1">
      <c r="B82" s="36"/>
      <c r="C82" s="37" t="str">
        <f t="shared" si="1"/>
        <v/>
      </c>
      <c r="D82" s="37"/>
      <c r="E82" s="38" t="str">
        <f>IFERROR(algoritmo!C82,"")</f>
        <v/>
      </c>
      <c r="F82" s="38" t="str">
        <f>IFERROR(IF(algoritmo!D82=0,-E82,algoritmo!D82),"")</f>
        <v/>
      </c>
      <c r="G82" s="39" t="str">
        <f>IFERROR(algoritmo!F82,"")</f>
        <v/>
      </c>
      <c r="H82" s="40" t="str">
        <f t="shared" si="0"/>
        <v/>
      </c>
      <c r="I82" s="53" t="str">
        <f>IFERROR(algoritmo!J82,"")</f>
        <v/>
      </c>
      <c r="J82" s="54" t="str">
        <f>IF(G82="","",IF(algoritmo!$L$4=1,IF(algoritmo!F82&gt;=algoritmo!G81,"◄◄",""),IF(algoritmo!I81+algoritmo!B82=$O$14,"Ciclo com Lucro",IF(algoritmo!H82=$O$13-$O$14+1,"Ciclo com Perda"," "&amp;($O$13-$O$14-algoritmo!H82)&amp;""))))</f>
        <v/>
      </c>
      <c r="K82" s="51" t="e">
        <f>IF(#REF!="Progressivo",algoritmo!E82,"")</f>
        <v>#REF!</v>
      </c>
      <c r="L82" s="52" t="e">
        <f>IF(#REF!="Progressivo",IF(K82="","",K82),"")</f>
        <v>#REF!</v>
      </c>
      <c r="N82" s="26"/>
      <c r="O82" s="26"/>
      <c r="P82" s="26"/>
      <c r="Q82" s="26"/>
      <c r="R82" s="26"/>
      <c r="S82" s="26"/>
    </row>
    <row r="83" spans="2:19" ht="13.5" customHeight="1">
      <c r="B83" s="41"/>
      <c r="C83" s="42" t="str">
        <f t="shared" si="1"/>
        <v/>
      </c>
      <c r="D83" s="42"/>
      <c r="E83" s="43" t="str">
        <f>IFERROR(algoritmo!C83,"")</f>
        <v/>
      </c>
      <c r="F83" s="43" t="str">
        <f>IFERROR(IF(algoritmo!D83=0,-E83,algoritmo!D83),"")</f>
        <v/>
      </c>
      <c r="G83" s="44" t="str">
        <f>IFERROR(algoritmo!F83,"")</f>
        <v/>
      </c>
      <c r="H83" s="45" t="str">
        <f t="shared" si="0"/>
        <v/>
      </c>
      <c r="I83" s="55" t="str">
        <f>IFERROR(algoritmo!J83,"")</f>
        <v/>
      </c>
      <c r="J83" s="56" t="str">
        <f>IF(G83="","",IF(algoritmo!$L$4=1,IF(algoritmo!F83&gt;=algoritmo!G82,"◄◄",""),IF(algoritmo!I82+algoritmo!B83=$O$14,"Ciclo com Lucro",IF(algoritmo!H83=$O$13-$O$14+1,"Ciclo com Perda"," "&amp;($O$13-$O$14-algoritmo!H83)&amp;""))))</f>
        <v/>
      </c>
      <c r="K83" s="51" t="e">
        <f>IF(#REF!="Progressivo",algoritmo!E83,"")</f>
        <v>#REF!</v>
      </c>
      <c r="L83" s="52" t="e">
        <f>IF(#REF!="Progressivo",IF(K83="","",K83),"")</f>
        <v>#REF!</v>
      </c>
      <c r="N83" s="26"/>
      <c r="O83" s="26"/>
      <c r="P83" s="26"/>
      <c r="Q83" s="26"/>
      <c r="R83" s="26"/>
      <c r="S83" s="26"/>
    </row>
    <row r="84" spans="2:19" ht="13.5" customHeight="1">
      <c r="B84" s="36"/>
      <c r="C84" s="37" t="str">
        <f t="shared" si="1"/>
        <v/>
      </c>
      <c r="D84" s="37"/>
      <c r="E84" s="38" t="str">
        <f>IFERROR(algoritmo!C84,"")</f>
        <v/>
      </c>
      <c r="F84" s="38" t="str">
        <f>IFERROR(IF(algoritmo!D84=0,-E84,algoritmo!D84),"")</f>
        <v/>
      </c>
      <c r="G84" s="39" t="str">
        <f>IFERROR(algoritmo!F84,"")</f>
        <v/>
      </c>
      <c r="H84" s="40" t="str">
        <f t="shared" si="0"/>
        <v/>
      </c>
      <c r="I84" s="53" t="str">
        <f>IFERROR(algoritmo!J84,"")</f>
        <v/>
      </c>
      <c r="J84" s="54" t="str">
        <f>IF(G84="","",IF(algoritmo!$L$4=1,IF(algoritmo!F84&gt;=algoritmo!G83,"◄◄",""),IF(algoritmo!I83+algoritmo!B84=$O$14,"Ciclo com Lucro",IF(algoritmo!H84=$O$13-$O$14+1,"Ciclo com Perda"," "&amp;($O$13-$O$14-algoritmo!H84)&amp;""))))</f>
        <v/>
      </c>
      <c r="K84" s="51" t="e">
        <f>IF(#REF!="Progressivo",algoritmo!E84,"")</f>
        <v>#REF!</v>
      </c>
      <c r="L84" s="52" t="e">
        <f>IF(#REF!="Progressivo",IF(K84="","",K84),"")</f>
        <v>#REF!</v>
      </c>
      <c r="N84" s="26"/>
      <c r="O84" s="26"/>
      <c r="P84" s="26"/>
      <c r="Q84" s="26"/>
      <c r="R84" s="26"/>
      <c r="S84" s="26"/>
    </row>
    <row r="85" spans="2:19" ht="13.5" customHeight="1">
      <c r="B85" s="41"/>
      <c r="C85" s="42" t="str">
        <f t="shared" si="1"/>
        <v/>
      </c>
      <c r="D85" s="42"/>
      <c r="E85" s="43" t="str">
        <f>IFERROR(algoritmo!C85,"")</f>
        <v/>
      </c>
      <c r="F85" s="43" t="str">
        <f>IFERROR(IF(algoritmo!D85=0,-E85,algoritmo!D85),"")</f>
        <v/>
      </c>
      <c r="G85" s="44" t="str">
        <f>IFERROR(algoritmo!F85,"")</f>
        <v/>
      </c>
      <c r="H85" s="45" t="str">
        <f t="shared" si="0"/>
        <v/>
      </c>
      <c r="I85" s="55" t="str">
        <f>IFERROR(algoritmo!J85,"")</f>
        <v/>
      </c>
      <c r="J85" s="56" t="str">
        <f>IF(G85="","",IF(algoritmo!$L$4=1,IF(algoritmo!F85&gt;=algoritmo!G84,"◄◄",""),IF(algoritmo!I84+algoritmo!B85=$O$14,"Ciclo com Lucro",IF(algoritmo!H85=$O$13-$O$14+1,"Ciclo com Perda"," "&amp;($O$13-$O$14-algoritmo!H85)&amp;""))))</f>
        <v/>
      </c>
      <c r="K85" s="51" t="e">
        <f>IF(#REF!="Progressivo",algoritmo!E85,"")</f>
        <v>#REF!</v>
      </c>
      <c r="L85" s="52" t="e">
        <f>IF(#REF!="Progressivo",IF(K85="","",K85),"")</f>
        <v>#REF!</v>
      </c>
      <c r="N85" s="26"/>
      <c r="O85" s="26"/>
      <c r="P85" s="26"/>
      <c r="Q85" s="26"/>
      <c r="R85" s="26"/>
      <c r="S85" s="26"/>
    </row>
    <row r="86" spans="2:19" ht="13.5" customHeight="1">
      <c r="B86" s="36"/>
      <c r="C86" s="37" t="str">
        <f t="shared" si="1"/>
        <v/>
      </c>
      <c r="D86" s="37"/>
      <c r="E86" s="38" t="str">
        <f>IFERROR(algoritmo!C86,"")</f>
        <v/>
      </c>
      <c r="F86" s="38" t="str">
        <f>IFERROR(IF(algoritmo!D86=0,-E86,algoritmo!D86),"")</f>
        <v/>
      </c>
      <c r="G86" s="39" t="str">
        <f>IFERROR(algoritmo!F86,"")</f>
        <v/>
      </c>
      <c r="H86" s="40" t="str">
        <f t="shared" si="0"/>
        <v/>
      </c>
      <c r="I86" s="53" t="str">
        <f>IFERROR(algoritmo!J86,"")</f>
        <v/>
      </c>
      <c r="J86" s="54" t="str">
        <f>IF(G86="","",IF(algoritmo!$L$4=1,IF(algoritmo!F86&gt;=algoritmo!G85,"◄◄",""),IF(algoritmo!I85+algoritmo!B86=$O$14,"Ciclo com Lucro",IF(algoritmo!H86=$O$13-$O$14+1,"Ciclo com Perda"," "&amp;($O$13-$O$14-algoritmo!H86)&amp;""))))</f>
        <v/>
      </c>
      <c r="K86" s="51" t="e">
        <f>IF(#REF!="Progressivo",algoritmo!E86,"")</f>
        <v>#REF!</v>
      </c>
      <c r="L86" s="52" t="e">
        <f>IF(#REF!="Progressivo",IF(K86="","",K86),"")</f>
        <v>#REF!</v>
      </c>
      <c r="N86" s="26"/>
      <c r="O86" s="26"/>
      <c r="P86" s="26"/>
      <c r="Q86" s="26"/>
      <c r="R86" s="26"/>
      <c r="S86" s="26"/>
    </row>
    <row r="87" spans="2:19" ht="13.5" customHeight="1">
      <c r="B87" s="41"/>
      <c r="C87" s="42" t="str">
        <f t="shared" si="1"/>
        <v/>
      </c>
      <c r="D87" s="42"/>
      <c r="E87" s="43" t="str">
        <f>IFERROR(algoritmo!C87,"")</f>
        <v/>
      </c>
      <c r="F87" s="43" t="str">
        <f>IFERROR(IF(algoritmo!D87=0,-E87,algoritmo!D87),"")</f>
        <v/>
      </c>
      <c r="G87" s="44" t="str">
        <f>IFERROR(algoritmo!F87,"")</f>
        <v/>
      </c>
      <c r="H87" s="45" t="str">
        <f t="shared" si="0"/>
        <v/>
      </c>
      <c r="I87" s="55" t="str">
        <f>IFERROR(algoritmo!J87,"")</f>
        <v/>
      </c>
      <c r="J87" s="56" t="str">
        <f>IF(G87="","",IF(algoritmo!$L$4=1,IF(algoritmo!F87&gt;=algoritmo!G86,"◄◄",""),IF(algoritmo!I86+algoritmo!B87=$O$14,"Ciclo com Lucro",IF(algoritmo!H87=$O$13-$O$14+1,"Ciclo com Perda"," "&amp;($O$13-$O$14-algoritmo!H87)&amp;""))))</f>
        <v/>
      </c>
      <c r="K87" s="51" t="e">
        <f>IF(#REF!="Progressivo",algoritmo!E87,"")</f>
        <v>#REF!</v>
      </c>
      <c r="L87" s="52" t="e">
        <f>IF(#REF!="Progressivo",IF(K87="","",K87),"")</f>
        <v>#REF!</v>
      </c>
      <c r="N87" s="26"/>
      <c r="O87" s="26"/>
      <c r="P87" s="26"/>
      <c r="Q87" s="26"/>
      <c r="R87" s="26"/>
      <c r="S87" s="26"/>
    </row>
    <row r="88" spans="2:19" ht="13.5" customHeight="1">
      <c r="B88" s="36"/>
      <c r="C88" s="37" t="str">
        <f t="shared" si="1"/>
        <v/>
      </c>
      <c r="D88" s="37"/>
      <c r="E88" s="38" t="str">
        <f>IFERROR(algoritmo!C88,"")</f>
        <v/>
      </c>
      <c r="F88" s="38" t="str">
        <f>IFERROR(IF(algoritmo!D88=0,-E88,algoritmo!D88),"")</f>
        <v/>
      </c>
      <c r="G88" s="39" t="str">
        <f>IFERROR(algoritmo!F88,"")</f>
        <v/>
      </c>
      <c r="H88" s="40" t="str">
        <f t="shared" si="0"/>
        <v/>
      </c>
      <c r="I88" s="53" t="str">
        <f>IFERROR(algoritmo!J88,"")</f>
        <v/>
      </c>
      <c r="J88" s="54" t="str">
        <f>IF(G88="","",IF(algoritmo!$L$4=1,IF(algoritmo!F88&gt;=algoritmo!G87,"◄◄",""),IF(algoritmo!I87+algoritmo!B88=$O$14,"Ciclo com Lucro",IF(algoritmo!H88=$O$13-$O$14+1,"Ciclo com Perda"," "&amp;($O$13-$O$14-algoritmo!H88)&amp;""))))</f>
        <v/>
      </c>
      <c r="K88" s="51" t="e">
        <f>IF(#REF!="Progressivo",algoritmo!E88,"")</f>
        <v>#REF!</v>
      </c>
      <c r="L88" s="52" t="e">
        <f>IF(#REF!="Progressivo",IF(K88="","",K88),"")</f>
        <v>#REF!</v>
      </c>
      <c r="N88" s="26"/>
      <c r="O88" s="26"/>
      <c r="P88" s="26"/>
      <c r="Q88" s="26"/>
      <c r="R88" s="26"/>
      <c r="S88" s="26"/>
    </row>
    <row r="89" spans="2:19" ht="13.5" customHeight="1">
      <c r="B89" s="41"/>
      <c r="C89" s="42" t="str">
        <f t="shared" si="1"/>
        <v/>
      </c>
      <c r="D89" s="42"/>
      <c r="E89" s="43" t="str">
        <f>IFERROR(algoritmo!C89,"")</f>
        <v/>
      </c>
      <c r="F89" s="43" t="str">
        <f>IFERROR(IF(algoritmo!D89=0,-E89,algoritmo!D89),"")</f>
        <v/>
      </c>
      <c r="G89" s="44" t="str">
        <f>IFERROR(algoritmo!F89,"")</f>
        <v/>
      </c>
      <c r="H89" s="45" t="str">
        <f t="shared" si="0"/>
        <v/>
      </c>
      <c r="I89" s="55" t="str">
        <f>IFERROR(algoritmo!J89,"")</f>
        <v/>
      </c>
      <c r="J89" s="56" t="str">
        <f>IF(G89="","",IF(algoritmo!$L$4=1,IF(algoritmo!F89&gt;=algoritmo!G88,"◄◄",""),IF(algoritmo!I88+algoritmo!B89=$O$14,"Ciclo com Lucro",IF(algoritmo!H89=$O$13-$O$14+1,"Ciclo com Perda"," "&amp;($O$13-$O$14-algoritmo!H89)&amp;""))))</f>
        <v/>
      </c>
      <c r="K89" s="51" t="e">
        <f>IF(#REF!="Progressivo",algoritmo!E89,"")</f>
        <v>#REF!</v>
      </c>
      <c r="L89" s="52" t="e">
        <f>IF(#REF!="Progressivo",IF(K89="","",K89),"")</f>
        <v>#REF!</v>
      </c>
      <c r="N89" s="26"/>
      <c r="O89" s="26"/>
      <c r="P89" s="26"/>
      <c r="Q89" s="26"/>
      <c r="R89" s="26"/>
      <c r="S89" s="26"/>
    </row>
    <row r="90" spans="2:19" ht="13.5" customHeight="1">
      <c r="B90" s="36"/>
      <c r="C90" s="37" t="str">
        <f t="shared" si="1"/>
        <v/>
      </c>
      <c r="D90" s="37"/>
      <c r="E90" s="38" t="str">
        <f>IFERROR(algoritmo!C90,"")</f>
        <v/>
      </c>
      <c r="F90" s="38" t="str">
        <f>IFERROR(IF(algoritmo!D90=0,-E90,algoritmo!D90),"")</f>
        <v/>
      </c>
      <c r="G90" s="39" t="str">
        <f>IFERROR(algoritmo!F90,"")</f>
        <v/>
      </c>
      <c r="H90" s="40" t="str">
        <f t="shared" si="0"/>
        <v/>
      </c>
      <c r="I90" s="53" t="str">
        <f>IFERROR(algoritmo!J90,"")</f>
        <v/>
      </c>
      <c r="J90" s="54" t="str">
        <f>IF(G90="","",IF(algoritmo!$L$4=1,IF(algoritmo!F90&gt;=algoritmo!G89,"◄◄",""),IF(algoritmo!I89+algoritmo!B90=$O$14,"Ciclo com Lucro",IF(algoritmo!H90=$O$13-$O$14+1,"Ciclo com Perda"," "&amp;($O$13-$O$14-algoritmo!H90)&amp;""))))</f>
        <v/>
      </c>
      <c r="K90" s="51" t="e">
        <f>IF(#REF!="Progressivo",algoritmo!E90,"")</f>
        <v>#REF!</v>
      </c>
      <c r="L90" s="52" t="e">
        <f>IF(#REF!="Progressivo",IF(K90="","",K90),"")</f>
        <v>#REF!</v>
      </c>
      <c r="N90" s="26"/>
      <c r="O90" s="26"/>
      <c r="P90" s="26"/>
      <c r="Q90" s="26"/>
      <c r="R90" s="26"/>
      <c r="S90" s="26"/>
    </row>
    <row r="91" spans="2:19" ht="13.5" customHeight="1">
      <c r="B91" s="41"/>
      <c r="C91" s="42" t="str">
        <f t="shared" si="1"/>
        <v/>
      </c>
      <c r="D91" s="42"/>
      <c r="E91" s="43" t="str">
        <f>IFERROR(algoritmo!C91,"")</f>
        <v/>
      </c>
      <c r="F91" s="43" t="str">
        <f>IFERROR(IF(algoritmo!D91=0,-E91,algoritmo!D91),"")</f>
        <v/>
      </c>
      <c r="G91" s="44" t="str">
        <f>IFERROR(algoritmo!F91,"")</f>
        <v/>
      </c>
      <c r="H91" s="45" t="str">
        <f t="shared" si="0"/>
        <v/>
      </c>
      <c r="I91" s="55" t="str">
        <f>IFERROR(algoritmo!J91,"")</f>
        <v/>
      </c>
      <c r="J91" s="56" t="str">
        <f>IF(G91="","",IF(algoritmo!$L$4=1,IF(algoritmo!F91&gt;=algoritmo!G90,"◄◄",""),IF(algoritmo!I90+algoritmo!B91=$O$14,"Ciclo com Lucro",IF(algoritmo!H91=$O$13-$O$14+1,"Ciclo com Perda"," "&amp;($O$13-$O$14-algoritmo!H91)&amp;""))))</f>
        <v/>
      </c>
      <c r="K91" s="51" t="e">
        <f>IF(#REF!="Progressivo",algoritmo!E91,"")</f>
        <v>#REF!</v>
      </c>
      <c r="L91" s="52" t="e">
        <f>IF(#REF!="Progressivo",IF(K91="","",K91),"")</f>
        <v>#REF!</v>
      </c>
      <c r="N91" s="26"/>
      <c r="O91" s="26"/>
      <c r="P91" s="26"/>
      <c r="Q91" s="26"/>
      <c r="R91" s="26"/>
      <c r="S91" s="26"/>
    </row>
    <row r="92" spans="2:19" ht="13.5" customHeight="1">
      <c r="B92" s="36"/>
      <c r="C92" s="37" t="str">
        <f t="shared" si="1"/>
        <v/>
      </c>
      <c r="D92" s="37"/>
      <c r="E92" s="38" t="str">
        <f>IFERROR(algoritmo!C92,"")</f>
        <v/>
      </c>
      <c r="F92" s="38" t="str">
        <f>IFERROR(IF(algoritmo!D92=0,-E92,algoritmo!D92),"")</f>
        <v/>
      </c>
      <c r="G92" s="39" t="str">
        <f>IFERROR(algoritmo!F92,"")</f>
        <v/>
      </c>
      <c r="H92" s="40" t="str">
        <f t="shared" si="0"/>
        <v/>
      </c>
      <c r="I92" s="53" t="str">
        <f>IFERROR(algoritmo!J92,"")</f>
        <v/>
      </c>
      <c r="J92" s="54" t="str">
        <f>IF(G92="","",IF(algoritmo!$L$4=1,IF(algoritmo!F92&gt;=algoritmo!G91,"◄◄",""),IF(algoritmo!I91+algoritmo!B92=$O$14,"Ciclo com Lucro",IF(algoritmo!H92=$O$13-$O$14+1,"Ciclo com Perda"," "&amp;($O$13-$O$14-algoritmo!H92)&amp;""))))</f>
        <v/>
      </c>
      <c r="K92" s="51" t="e">
        <f>IF(#REF!="Progressivo",algoritmo!E92,"")</f>
        <v>#REF!</v>
      </c>
      <c r="L92" s="52" t="e">
        <f>IF(#REF!="Progressivo",IF(K92="","",K92),"")</f>
        <v>#REF!</v>
      </c>
      <c r="N92" s="26"/>
      <c r="O92" s="26"/>
      <c r="P92" s="26"/>
      <c r="Q92" s="26"/>
      <c r="R92" s="26"/>
      <c r="S92" s="26"/>
    </row>
    <row r="93" spans="2:19" ht="13.5" customHeight="1">
      <c r="B93" s="41"/>
      <c r="C93" s="42" t="str">
        <f t="shared" si="1"/>
        <v/>
      </c>
      <c r="D93" s="42"/>
      <c r="E93" s="43" t="str">
        <f>IFERROR(algoritmo!C93,"")</f>
        <v/>
      </c>
      <c r="F93" s="43" t="str">
        <f>IFERROR(IF(algoritmo!D93=0,-E93,algoritmo!D93),"")</f>
        <v/>
      </c>
      <c r="G93" s="44" t="str">
        <f>IFERROR(algoritmo!F93,"")</f>
        <v/>
      </c>
      <c r="H93" s="45" t="str">
        <f t="shared" si="0"/>
        <v/>
      </c>
      <c r="I93" s="55" t="str">
        <f>IFERROR(algoritmo!J93,"")</f>
        <v/>
      </c>
      <c r="J93" s="56" t="str">
        <f>IF(G93="","",IF(algoritmo!$L$4=1,IF(algoritmo!F93&gt;=algoritmo!G92,"◄◄",""),IF(algoritmo!I92+algoritmo!B93=$O$14,"Ciclo com Lucro",IF(algoritmo!H93=$O$13-$O$14+1,"Ciclo com Perda"," "&amp;($O$13-$O$14-algoritmo!H93)&amp;""))))</f>
        <v/>
      </c>
      <c r="K93" s="51" t="e">
        <f>IF(#REF!="Progressivo",algoritmo!E93,"")</f>
        <v>#REF!</v>
      </c>
      <c r="L93" s="52" t="e">
        <f>IF(#REF!="Progressivo",IF(K93="","",K93),"")</f>
        <v>#REF!</v>
      </c>
      <c r="N93" s="26"/>
      <c r="O93" s="26"/>
      <c r="P93" s="26"/>
      <c r="Q93" s="26"/>
      <c r="R93" s="26"/>
      <c r="S93" s="26"/>
    </row>
    <row r="94" spans="2:19" ht="13.5" customHeight="1">
      <c r="B94" s="36"/>
      <c r="C94" s="37" t="str">
        <f t="shared" si="1"/>
        <v/>
      </c>
      <c r="D94" s="37"/>
      <c r="E94" s="38" t="str">
        <f>IFERROR(algoritmo!C94,"")</f>
        <v/>
      </c>
      <c r="F94" s="38" t="str">
        <f>IFERROR(IF(algoritmo!D94=0,-E94,algoritmo!D94),"")</f>
        <v/>
      </c>
      <c r="G94" s="39" t="str">
        <f>IFERROR(algoritmo!F94,"")</f>
        <v/>
      </c>
      <c r="H94" s="40" t="str">
        <f t="shared" si="0"/>
        <v/>
      </c>
      <c r="I94" s="53" t="str">
        <f>IFERROR(algoritmo!J94,"")</f>
        <v/>
      </c>
      <c r="J94" s="54" t="str">
        <f>IF(G94="","",IF(algoritmo!$L$4=1,IF(algoritmo!F94&gt;=algoritmo!G93,"◄◄",""),IF(algoritmo!I93+algoritmo!B94=$O$14,"Ciclo com Lucro",IF(algoritmo!H94=$O$13-$O$14+1,"Ciclo com Perda"," "&amp;($O$13-$O$14-algoritmo!H94)&amp;""))))</f>
        <v/>
      </c>
      <c r="K94" s="51" t="e">
        <f>IF(#REF!="Progressivo",algoritmo!E94,"")</f>
        <v>#REF!</v>
      </c>
      <c r="L94" s="52" t="e">
        <f>IF(#REF!="Progressivo",IF(K94="","",K94),"")</f>
        <v>#REF!</v>
      </c>
      <c r="N94" s="26"/>
      <c r="O94" s="26"/>
      <c r="P94" s="26"/>
      <c r="Q94" s="26"/>
      <c r="R94" s="26"/>
      <c r="S94" s="26"/>
    </row>
    <row r="95" spans="2:19" ht="13.5" customHeight="1">
      <c r="B95" s="41"/>
      <c r="C95" s="42" t="str">
        <f t="shared" si="1"/>
        <v/>
      </c>
      <c r="D95" s="42"/>
      <c r="E95" s="43" t="str">
        <f>IFERROR(algoritmo!C95,"")</f>
        <v/>
      </c>
      <c r="F95" s="43" t="str">
        <f>IFERROR(IF(algoritmo!D95=0,-E95,algoritmo!D95),"")</f>
        <v/>
      </c>
      <c r="G95" s="44" t="str">
        <f>IFERROR(algoritmo!F95,"")</f>
        <v/>
      </c>
      <c r="H95" s="45" t="str">
        <f t="shared" si="0"/>
        <v/>
      </c>
      <c r="I95" s="55" t="str">
        <f>IFERROR(algoritmo!J95,"")</f>
        <v/>
      </c>
      <c r="J95" s="56" t="str">
        <f>IF(G95="","",IF(algoritmo!$L$4=1,IF(algoritmo!F95&gt;=algoritmo!G94,"◄◄",""),IF(algoritmo!I94+algoritmo!B95=$O$14,"Ciclo com Lucro",IF(algoritmo!H95=$O$13-$O$14+1,"Ciclo com Perda"," "&amp;($O$13-$O$14-algoritmo!H95)&amp;""))))</f>
        <v/>
      </c>
      <c r="K95" s="51" t="e">
        <f>IF(#REF!="Progressivo",algoritmo!E95,"")</f>
        <v>#REF!</v>
      </c>
      <c r="L95" s="52" t="e">
        <f>IF(#REF!="Progressivo",IF(K95="","",K95),"")</f>
        <v>#REF!</v>
      </c>
      <c r="N95" s="26"/>
      <c r="O95" s="26"/>
      <c r="P95" s="26"/>
      <c r="Q95" s="26"/>
      <c r="R95" s="26"/>
      <c r="S95" s="26"/>
    </row>
    <row r="96" spans="2:19" ht="13.5" customHeight="1">
      <c r="B96" s="36"/>
      <c r="C96" s="37" t="str">
        <f t="shared" si="1"/>
        <v/>
      </c>
      <c r="D96" s="37"/>
      <c r="E96" s="38" t="str">
        <f>IFERROR(algoritmo!C96,"")</f>
        <v/>
      </c>
      <c r="F96" s="38" t="str">
        <f>IFERROR(IF(algoritmo!D96=0,-E96,algoritmo!D96),"")</f>
        <v/>
      </c>
      <c r="G96" s="39" t="str">
        <f>IFERROR(algoritmo!F96,"")</f>
        <v/>
      </c>
      <c r="H96" s="40" t="str">
        <f t="shared" si="0"/>
        <v/>
      </c>
      <c r="I96" s="53" t="str">
        <f>IFERROR(algoritmo!J96,"")</f>
        <v/>
      </c>
      <c r="J96" s="54" t="str">
        <f>IF(G96="","",IF(algoritmo!$L$4=1,IF(algoritmo!F96&gt;=algoritmo!G95,"◄◄",""),IF(algoritmo!I95+algoritmo!B96=$O$14,"Ciclo com Lucro",IF(algoritmo!H96=$O$13-$O$14+1,"Ciclo com Perda"," "&amp;($O$13-$O$14-algoritmo!H96)&amp;""))))</f>
        <v/>
      </c>
      <c r="K96" s="51" t="e">
        <f>IF(#REF!="Progressivo",algoritmo!E96,"")</f>
        <v>#REF!</v>
      </c>
      <c r="L96" s="52" t="e">
        <f>IF(#REF!="Progressivo",IF(K96="","",K96),"")</f>
        <v>#REF!</v>
      </c>
      <c r="N96" s="26"/>
      <c r="O96" s="26"/>
      <c r="P96" s="26"/>
      <c r="Q96" s="26"/>
      <c r="R96" s="26"/>
      <c r="S96" s="26"/>
    </row>
    <row r="97" spans="2:19" ht="13.5" customHeight="1">
      <c r="B97" s="41"/>
      <c r="C97" s="42" t="str">
        <f t="shared" si="1"/>
        <v/>
      </c>
      <c r="D97" s="42"/>
      <c r="E97" s="43" t="str">
        <f>IFERROR(algoritmo!C97,"")</f>
        <v/>
      </c>
      <c r="F97" s="43" t="str">
        <f>IFERROR(IF(algoritmo!D97=0,-E97,algoritmo!D97),"")</f>
        <v/>
      </c>
      <c r="G97" s="44" t="str">
        <f>IFERROR(algoritmo!F97,"")</f>
        <v/>
      </c>
      <c r="H97" s="45" t="str">
        <f t="shared" si="0"/>
        <v/>
      </c>
      <c r="I97" s="55" t="str">
        <f>IFERROR(algoritmo!J97,"")</f>
        <v/>
      </c>
      <c r="J97" s="56" t="str">
        <f>IF(G97="","",IF(algoritmo!$L$4=1,IF(algoritmo!F97&gt;=algoritmo!G96,"◄◄",""),IF(algoritmo!I96+algoritmo!B97=$O$14,"Ciclo com Lucro",IF(algoritmo!H97=$O$13-$O$14+1,"Ciclo com Perda"," "&amp;($O$13-$O$14-algoritmo!H97)&amp;""))))</f>
        <v/>
      </c>
      <c r="K97" s="51" t="e">
        <f>IF(#REF!="Progressivo",algoritmo!E97,"")</f>
        <v>#REF!</v>
      </c>
      <c r="L97" s="52" t="e">
        <f>IF(#REF!="Progressivo",IF(K97="","",K97),"")</f>
        <v>#REF!</v>
      </c>
      <c r="N97" s="26"/>
      <c r="O97" s="26"/>
      <c r="P97" s="26"/>
      <c r="Q97" s="26"/>
      <c r="R97" s="26"/>
      <c r="S97" s="26"/>
    </row>
    <row r="98" spans="2:19" ht="13.5" customHeight="1">
      <c r="B98" s="36"/>
      <c r="C98" s="37" t="str">
        <f t="shared" si="1"/>
        <v/>
      </c>
      <c r="D98" s="37"/>
      <c r="E98" s="38" t="str">
        <f>IFERROR(algoritmo!C98,"")</f>
        <v/>
      </c>
      <c r="F98" s="38" t="str">
        <f>IFERROR(IF(algoritmo!D98=0,-E98,algoritmo!D98),"")</f>
        <v/>
      </c>
      <c r="G98" s="39" t="str">
        <f>IFERROR(algoritmo!F98,"")</f>
        <v/>
      </c>
      <c r="H98" s="40" t="str">
        <f t="shared" si="0"/>
        <v/>
      </c>
      <c r="I98" s="53" t="str">
        <f>IFERROR(algoritmo!J98,"")</f>
        <v/>
      </c>
      <c r="J98" s="54" t="str">
        <f>IF(G98="","",IF(algoritmo!$L$4=1,IF(algoritmo!F98&gt;=algoritmo!G97,"◄◄",""),IF(algoritmo!I97+algoritmo!B98=$O$14,"Ciclo com Lucro",IF(algoritmo!H98=$O$13-$O$14+1,"Ciclo com Perda"," "&amp;($O$13-$O$14-algoritmo!H98)&amp;""))))</f>
        <v/>
      </c>
      <c r="K98" s="51" t="e">
        <f>IF(#REF!="Progressivo",algoritmo!E98,"")</f>
        <v>#REF!</v>
      </c>
      <c r="L98" s="52" t="e">
        <f>IF(#REF!="Progressivo",IF(K98="","",K98),"")</f>
        <v>#REF!</v>
      </c>
      <c r="N98" s="26"/>
      <c r="O98" s="26"/>
      <c r="P98" s="26"/>
      <c r="Q98" s="26"/>
      <c r="R98" s="26"/>
      <c r="S98" s="26"/>
    </row>
    <row r="99" spans="2:19" ht="13.5" customHeight="1">
      <c r="B99" s="41"/>
      <c r="C99" s="42" t="str">
        <f t="shared" si="1"/>
        <v/>
      </c>
      <c r="D99" s="42"/>
      <c r="E99" s="43" t="str">
        <f>IFERROR(algoritmo!C99,"")</f>
        <v/>
      </c>
      <c r="F99" s="43" t="str">
        <f>IFERROR(IF(algoritmo!D99=0,-E99,algoritmo!D99),"")</f>
        <v/>
      </c>
      <c r="G99" s="44" t="str">
        <f>IFERROR(algoritmo!F99,"")</f>
        <v/>
      </c>
      <c r="H99" s="45" t="str">
        <f t="shared" si="0"/>
        <v/>
      </c>
      <c r="I99" s="55" t="str">
        <f>IFERROR(algoritmo!J99,"")</f>
        <v/>
      </c>
      <c r="J99" s="56" t="str">
        <f>IF(G99="","",IF(algoritmo!$L$4=1,IF(algoritmo!F99&gt;=algoritmo!G98,"◄◄",""),IF(algoritmo!I98+algoritmo!B99=$O$14,"Ciclo com Lucro",IF(algoritmo!H99=$O$13-$O$14+1,"Ciclo com Perda"," "&amp;($O$13-$O$14-algoritmo!H99)&amp;""))))</f>
        <v/>
      </c>
      <c r="K99" s="51" t="e">
        <f>IF(#REF!="Progressivo",algoritmo!E99,"")</f>
        <v>#REF!</v>
      </c>
      <c r="L99" s="52" t="e">
        <f>IF(#REF!="Progressivo",IF(K99="","",K99),"")</f>
        <v>#REF!</v>
      </c>
      <c r="N99" s="26"/>
      <c r="O99" s="26"/>
      <c r="P99" s="26"/>
      <c r="Q99" s="26"/>
      <c r="R99" s="26"/>
      <c r="S99" s="26"/>
    </row>
    <row r="100" spans="2:19" ht="13.5" customHeight="1">
      <c r="B100" s="36"/>
      <c r="C100" s="37" t="str">
        <f t="shared" si="1"/>
        <v/>
      </c>
      <c r="D100" s="37"/>
      <c r="E100" s="38" t="str">
        <f>IFERROR(algoritmo!C100,"")</f>
        <v/>
      </c>
      <c r="F100" s="38" t="str">
        <f>IFERROR(IF(algoritmo!D100=0,-E100,algoritmo!D100),"")</f>
        <v/>
      </c>
      <c r="G100" s="39" t="str">
        <f>IFERROR(algoritmo!F100,"")</f>
        <v/>
      </c>
      <c r="H100" s="40" t="str">
        <f t="shared" si="0"/>
        <v/>
      </c>
      <c r="I100" s="53" t="str">
        <f>IFERROR(algoritmo!J100,"")</f>
        <v/>
      </c>
      <c r="J100" s="54" t="str">
        <f>IF(G100="","",IF(algoritmo!$L$4=1,IF(algoritmo!F100&gt;=algoritmo!G99,"◄◄",""),IF(algoritmo!I99+algoritmo!B100=$O$14,"Ciclo com Lucro",IF(algoritmo!H100=$O$13-$O$14+1,"Ciclo com Perda"," "&amp;($O$13-$O$14-algoritmo!H100)&amp;""))))</f>
        <v/>
      </c>
      <c r="K100" s="51" t="e">
        <f>IF(#REF!="Progressivo",algoritmo!E100,"")</f>
        <v>#REF!</v>
      </c>
      <c r="L100" s="52" t="e">
        <f>IF(#REF!="Progressivo",IF(K100="","",K100),"")</f>
        <v>#REF!</v>
      </c>
      <c r="N100" s="26"/>
      <c r="O100" s="26"/>
      <c r="P100" s="26"/>
      <c r="Q100" s="26"/>
      <c r="R100" s="26"/>
      <c r="S100" s="26"/>
    </row>
    <row r="101" spans="2:19" ht="13.5" customHeight="1">
      <c r="B101" s="41"/>
      <c r="C101" s="42" t="str">
        <f t="shared" si="1"/>
        <v/>
      </c>
      <c r="D101" s="42"/>
      <c r="E101" s="43" t="str">
        <f>IFERROR(algoritmo!C101,"")</f>
        <v/>
      </c>
      <c r="F101" s="43" t="str">
        <f>IFERROR(IF(algoritmo!D101=0,-E101,algoritmo!D101),"")</f>
        <v/>
      </c>
      <c r="G101" s="44" t="str">
        <f>IFERROR(algoritmo!F101,"")</f>
        <v/>
      </c>
      <c r="H101" s="45" t="str">
        <f t="shared" si="0"/>
        <v/>
      </c>
      <c r="I101" s="55" t="str">
        <f>IFERROR(algoritmo!J101,"")</f>
        <v/>
      </c>
      <c r="J101" s="56" t="str">
        <f>IF(G101="","",IF(algoritmo!$L$4=1,IF(algoritmo!F101&gt;=algoritmo!G100,"◄◄",""),IF(algoritmo!I100+algoritmo!B101=$O$14,"Ciclo com Lucro",IF(algoritmo!H101=$O$13-$O$14+1,"Ciclo com Perda"," "&amp;($O$13-$O$14-algoritmo!H101)&amp;""))))</f>
        <v/>
      </c>
      <c r="K101" s="51" t="e">
        <f>IF(#REF!="Progressivo",algoritmo!E101,"")</f>
        <v>#REF!</v>
      </c>
      <c r="L101" s="52" t="e">
        <f>IF(#REF!="Progressivo",IF(K101="","",K101),"")</f>
        <v>#REF!</v>
      </c>
      <c r="N101" s="26"/>
      <c r="O101" s="26"/>
      <c r="P101" s="26"/>
      <c r="Q101" s="26"/>
      <c r="R101" s="26"/>
      <c r="S101" s="26"/>
    </row>
    <row r="102" spans="2:19" ht="13.5" customHeight="1">
      <c r="B102" s="36"/>
      <c r="C102" s="37" t="str">
        <f t="shared" si="1"/>
        <v/>
      </c>
      <c r="D102" s="37"/>
      <c r="E102" s="38" t="str">
        <f>IFERROR(algoritmo!C102,"")</f>
        <v/>
      </c>
      <c r="F102" s="38" t="str">
        <f>IFERROR(IF(algoritmo!D102=0,-E102,algoritmo!D102),"")</f>
        <v/>
      </c>
      <c r="G102" s="39" t="str">
        <f>IFERROR(algoritmo!F102,"")</f>
        <v/>
      </c>
      <c r="H102" s="40" t="str">
        <f t="shared" si="0"/>
        <v/>
      </c>
      <c r="I102" s="53" t="str">
        <f>IFERROR(algoritmo!J102,"")</f>
        <v/>
      </c>
      <c r="J102" s="54" t="str">
        <f>IF(G102="","",IF(algoritmo!$L$4=1,IF(algoritmo!F102&gt;=algoritmo!G101,"◄◄",""),IF(algoritmo!I101+algoritmo!B102=$O$14,"Ciclo com Lucro",IF(algoritmo!H102=$O$13-$O$14+1,"Ciclo com Perda"," "&amp;($O$13-$O$14-algoritmo!H102)&amp;""))))</f>
        <v/>
      </c>
      <c r="K102" s="51" t="e">
        <f>IF(#REF!="Progressivo",algoritmo!E102,"")</f>
        <v>#REF!</v>
      </c>
      <c r="L102" s="52" t="e">
        <f>IF(#REF!="Progressivo",IF(K102="","",K102),"")</f>
        <v>#REF!</v>
      </c>
      <c r="N102" s="26"/>
      <c r="O102" s="26"/>
      <c r="P102" s="26"/>
      <c r="Q102" s="26"/>
      <c r="R102" s="26"/>
      <c r="S102" s="26"/>
    </row>
    <row r="103" spans="2:19" ht="12.75" customHeight="1">
      <c r="B103" s="81"/>
      <c r="C103" s="82"/>
      <c r="D103" s="83"/>
      <c r="E103" s="65"/>
      <c r="F103" s="65"/>
      <c r="G103" s="84"/>
      <c r="H103" s="82"/>
      <c r="I103" s="82"/>
      <c r="J103" s="88"/>
      <c r="K103" s="89"/>
      <c r="L103" s="89"/>
      <c r="N103" s="26"/>
      <c r="O103" s="26"/>
      <c r="P103" s="26"/>
      <c r="Q103" s="26"/>
      <c r="R103" s="26"/>
      <c r="S103" s="26"/>
    </row>
    <row r="104" spans="2:19" ht="15.75" customHeight="1">
      <c r="D104" s="85"/>
      <c r="E104" s="86"/>
      <c r="F104" s="86"/>
      <c r="G104" s="87"/>
      <c r="K104" s="90"/>
      <c r="L104" s="90"/>
      <c r="N104" s="26"/>
      <c r="O104" s="26"/>
      <c r="P104" s="26"/>
      <c r="Q104" s="26"/>
      <c r="R104" s="26"/>
      <c r="S104" s="26"/>
    </row>
    <row r="105" spans="2:19" ht="15.75" customHeight="1">
      <c r="D105" s="85"/>
      <c r="E105" s="86"/>
      <c r="F105" s="86"/>
      <c r="G105" s="87"/>
      <c r="K105" s="90"/>
      <c r="L105" s="90"/>
      <c r="N105" s="26"/>
      <c r="O105" s="26"/>
      <c r="P105" s="26"/>
      <c r="Q105" s="91"/>
      <c r="R105" s="91"/>
      <c r="S105" s="91"/>
    </row>
    <row r="106" spans="2:19" ht="15.75" customHeight="1">
      <c r="D106" s="85"/>
      <c r="E106" s="86"/>
      <c r="F106" s="86"/>
      <c r="G106" s="87"/>
      <c r="K106" s="90"/>
      <c r="L106" s="90"/>
      <c r="Q106" s="91"/>
      <c r="R106" s="91"/>
      <c r="S106" s="91"/>
    </row>
    <row r="107" spans="2:19" ht="15.75" customHeight="1">
      <c r="D107" s="85"/>
      <c r="E107" s="86"/>
      <c r="F107" s="86"/>
      <c r="G107" s="87"/>
      <c r="K107" s="90"/>
      <c r="L107" s="90"/>
      <c r="Q107" s="91"/>
      <c r="R107" s="91"/>
      <c r="S107" s="91"/>
    </row>
    <row r="108" spans="2:19" ht="15.75" customHeight="1">
      <c r="D108" s="85"/>
      <c r="E108" s="86"/>
      <c r="F108" s="86"/>
      <c r="G108" s="87"/>
      <c r="K108" s="90"/>
      <c r="L108" s="90"/>
      <c r="Q108" s="91"/>
      <c r="R108" s="91"/>
      <c r="S108" s="91"/>
    </row>
    <row r="109" spans="2:19" ht="15.75" customHeight="1">
      <c r="D109" s="85"/>
      <c r="E109" s="86"/>
      <c r="F109" s="86"/>
      <c r="G109" s="87"/>
      <c r="K109" s="90"/>
      <c r="L109" s="90"/>
      <c r="Q109" s="91"/>
      <c r="R109" s="91"/>
      <c r="S109" s="91"/>
    </row>
    <row r="110" spans="2:19" ht="15.75" customHeight="1">
      <c r="D110" s="85"/>
      <c r="E110" s="86"/>
      <c r="F110" s="86"/>
      <c r="G110" s="87"/>
      <c r="K110" s="90"/>
      <c r="L110" s="90"/>
      <c r="Q110" s="91"/>
      <c r="R110" s="91"/>
      <c r="S110" s="91"/>
    </row>
    <row r="111" spans="2:19" ht="15.75" customHeight="1">
      <c r="D111" s="85"/>
      <c r="E111" s="86"/>
      <c r="F111" s="86"/>
      <c r="G111" s="87"/>
      <c r="K111" s="90"/>
      <c r="L111" s="90"/>
      <c r="Q111" s="91"/>
      <c r="R111" s="91"/>
      <c r="S111" s="91"/>
    </row>
    <row r="112" spans="2:19" ht="15.75" customHeight="1">
      <c r="D112" s="85"/>
      <c r="E112" s="86"/>
      <c r="F112" s="86"/>
      <c r="G112" s="87"/>
      <c r="K112" s="90"/>
      <c r="L112" s="90"/>
      <c r="Q112" s="91"/>
      <c r="R112" s="91"/>
      <c r="S112" s="91"/>
    </row>
    <row r="113" spans="5:12" ht="15.75" customHeight="1">
      <c r="E113" s="86"/>
      <c r="F113" s="86"/>
      <c r="G113" s="87"/>
      <c r="K113" s="90"/>
      <c r="L113" s="90"/>
    </row>
    <row r="114" spans="5:12" ht="15.75" customHeight="1">
      <c r="E114" s="86"/>
      <c r="F114" s="86"/>
      <c r="G114" s="87"/>
      <c r="K114" s="90"/>
      <c r="L114" s="90"/>
    </row>
    <row r="115" spans="5:12" ht="15.75" customHeight="1">
      <c r="E115" s="86"/>
      <c r="F115" s="86"/>
      <c r="G115" s="87"/>
      <c r="K115" s="90"/>
      <c r="L115" s="90"/>
    </row>
    <row r="116" spans="5:12" ht="15.75" customHeight="1">
      <c r="E116" s="86"/>
      <c r="F116" s="86"/>
      <c r="G116" s="87"/>
      <c r="K116" s="90"/>
      <c r="L116" s="90"/>
    </row>
    <row r="117" spans="5:12" ht="15.75" customHeight="1">
      <c r="E117" s="86"/>
      <c r="F117" s="86"/>
      <c r="G117" s="87"/>
      <c r="K117" s="90"/>
      <c r="L117" s="90"/>
    </row>
    <row r="118" spans="5:12" ht="15.75" customHeight="1">
      <c r="E118" s="86"/>
      <c r="F118" s="86"/>
      <c r="G118" s="87"/>
      <c r="K118" s="90"/>
      <c r="L118" s="90"/>
    </row>
    <row r="119" spans="5:12" ht="15.75" customHeight="1">
      <c r="E119" s="86"/>
      <c r="F119" s="86"/>
      <c r="G119" s="87"/>
      <c r="K119" s="90"/>
      <c r="L119" s="90"/>
    </row>
    <row r="120" spans="5:12" ht="15.75" customHeight="1">
      <c r="E120" s="86"/>
      <c r="F120" s="86"/>
      <c r="G120" s="87"/>
      <c r="K120" s="90"/>
      <c r="L120" s="90"/>
    </row>
    <row r="121" spans="5:12" ht="15.75" customHeight="1">
      <c r="E121" s="86"/>
      <c r="F121" s="86"/>
      <c r="G121" s="87"/>
      <c r="K121" s="90"/>
      <c r="L121" s="90"/>
    </row>
    <row r="122" spans="5:12" ht="15.75" customHeight="1">
      <c r="E122" s="86"/>
      <c r="F122" s="86"/>
      <c r="G122" s="87"/>
      <c r="K122" s="90"/>
      <c r="L122" s="90"/>
    </row>
    <row r="123" spans="5:12" ht="15.75" customHeight="1">
      <c r="E123" s="86"/>
      <c r="F123" s="86"/>
      <c r="G123" s="87"/>
      <c r="K123" s="90"/>
      <c r="L123" s="90"/>
    </row>
    <row r="124" spans="5:12" ht="15.75" customHeight="1">
      <c r="E124" s="86"/>
      <c r="F124" s="86"/>
      <c r="G124" s="87"/>
      <c r="K124" s="90"/>
      <c r="L124" s="90"/>
    </row>
    <row r="125" spans="5:12" ht="15.75" customHeight="1">
      <c r="E125" s="86"/>
      <c r="F125" s="86"/>
      <c r="G125" s="87"/>
      <c r="K125" s="90"/>
      <c r="L125" s="90"/>
    </row>
    <row r="126" spans="5:12" ht="15.75" customHeight="1">
      <c r="E126" s="86"/>
      <c r="F126" s="86"/>
      <c r="G126" s="87"/>
      <c r="K126" s="90"/>
      <c r="L126" s="90"/>
    </row>
    <row r="127" spans="5:12" ht="15.75" customHeight="1">
      <c r="E127" s="86"/>
      <c r="F127" s="86"/>
      <c r="G127" s="87"/>
      <c r="K127" s="90"/>
      <c r="L127" s="90"/>
    </row>
    <row r="128" spans="5:12" ht="15.75" customHeight="1">
      <c r="E128" s="86"/>
      <c r="F128" s="86"/>
      <c r="G128" s="87"/>
      <c r="K128" s="90"/>
      <c r="L128" s="90"/>
    </row>
    <row r="129" spans="5:12" ht="15.75" customHeight="1">
      <c r="E129" s="86"/>
      <c r="F129" s="86"/>
      <c r="G129" s="87"/>
      <c r="K129" s="90"/>
      <c r="L129" s="90"/>
    </row>
    <row r="130" spans="5:12" ht="15.75" customHeight="1">
      <c r="E130" s="86"/>
      <c r="F130" s="86"/>
      <c r="G130" s="87"/>
      <c r="K130" s="90"/>
      <c r="L130" s="90"/>
    </row>
    <row r="131" spans="5:12" ht="15.75" customHeight="1">
      <c r="E131" s="86"/>
      <c r="F131" s="86"/>
      <c r="G131" s="87"/>
      <c r="K131" s="90"/>
      <c r="L131" s="90"/>
    </row>
    <row r="132" spans="5:12" ht="15.75" customHeight="1">
      <c r="E132" s="86"/>
      <c r="F132" s="86"/>
      <c r="G132" s="87"/>
      <c r="K132" s="90"/>
      <c r="L132" s="90"/>
    </row>
    <row r="133" spans="5:12" ht="15.75" customHeight="1">
      <c r="E133" s="86"/>
      <c r="F133" s="86"/>
      <c r="G133" s="87"/>
      <c r="K133" s="90"/>
      <c r="L133" s="90"/>
    </row>
    <row r="134" spans="5:12" ht="15.75" customHeight="1">
      <c r="E134" s="86"/>
      <c r="F134" s="86"/>
      <c r="G134" s="87"/>
      <c r="K134" s="90"/>
      <c r="L134" s="90"/>
    </row>
    <row r="135" spans="5:12" ht="15.75" customHeight="1">
      <c r="E135" s="86"/>
      <c r="F135" s="86"/>
      <c r="G135" s="87"/>
      <c r="K135" s="90"/>
      <c r="L135" s="90"/>
    </row>
    <row r="136" spans="5:12" ht="15.75" customHeight="1">
      <c r="E136" s="86"/>
      <c r="F136" s="86"/>
      <c r="G136" s="87"/>
      <c r="K136" s="90"/>
      <c r="L136" s="90"/>
    </row>
    <row r="137" spans="5:12" ht="15.75" customHeight="1">
      <c r="E137" s="86"/>
      <c r="F137" s="86"/>
      <c r="G137" s="87"/>
      <c r="K137" s="90"/>
      <c r="L137" s="90"/>
    </row>
    <row r="138" spans="5:12" ht="15.75" customHeight="1">
      <c r="E138" s="86"/>
      <c r="F138" s="86"/>
      <c r="G138" s="87"/>
      <c r="K138" s="90"/>
      <c r="L138" s="90"/>
    </row>
    <row r="139" spans="5:12" ht="15.75" customHeight="1">
      <c r="E139" s="86"/>
      <c r="F139" s="86"/>
      <c r="G139" s="87"/>
      <c r="K139" s="90"/>
      <c r="L139" s="90"/>
    </row>
    <row r="140" spans="5:12" ht="15.75" customHeight="1">
      <c r="E140" s="86"/>
      <c r="F140" s="86"/>
      <c r="G140" s="87"/>
      <c r="K140" s="90"/>
      <c r="L140" s="90"/>
    </row>
    <row r="141" spans="5:12" ht="15.75" customHeight="1">
      <c r="E141" s="86"/>
      <c r="F141" s="86"/>
      <c r="G141" s="87"/>
      <c r="K141" s="90"/>
      <c r="L141" s="90"/>
    </row>
    <row r="142" spans="5:12" ht="15.75" customHeight="1">
      <c r="E142" s="86"/>
      <c r="F142" s="86"/>
      <c r="G142" s="87"/>
      <c r="K142" s="90"/>
      <c r="L142" s="90"/>
    </row>
    <row r="143" spans="5:12" ht="15.75" customHeight="1">
      <c r="E143" s="86"/>
      <c r="F143" s="86"/>
      <c r="G143" s="87"/>
      <c r="K143" s="90"/>
      <c r="L143" s="90"/>
    </row>
    <row r="144" spans="5:12" ht="15.75" customHeight="1">
      <c r="E144" s="86"/>
      <c r="F144" s="86"/>
      <c r="G144" s="87"/>
      <c r="K144" s="90"/>
      <c r="L144" s="90"/>
    </row>
    <row r="145" spans="5:12" ht="15.75" customHeight="1">
      <c r="E145" s="86"/>
      <c r="F145" s="86"/>
      <c r="G145" s="87"/>
      <c r="K145" s="90"/>
      <c r="L145" s="90"/>
    </row>
    <row r="146" spans="5:12" ht="15.75" customHeight="1">
      <c r="E146" s="86"/>
      <c r="F146" s="86"/>
      <c r="G146" s="87"/>
      <c r="K146" s="90"/>
      <c r="L146" s="90"/>
    </row>
    <row r="147" spans="5:12" ht="15.75" customHeight="1">
      <c r="E147" s="86"/>
      <c r="F147" s="86"/>
      <c r="G147" s="87"/>
      <c r="K147" s="90"/>
      <c r="L147" s="90"/>
    </row>
    <row r="148" spans="5:12" ht="15.75" customHeight="1">
      <c r="E148" s="86"/>
      <c r="F148" s="86"/>
      <c r="G148" s="87"/>
      <c r="K148" s="90"/>
      <c r="L148" s="90"/>
    </row>
    <row r="149" spans="5:12" ht="15.75" customHeight="1">
      <c r="E149" s="86"/>
      <c r="F149" s="86"/>
      <c r="G149" s="87"/>
      <c r="K149" s="90"/>
      <c r="L149" s="90"/>
    </row>
    <row r="150" spans="5:12" ht="15.75" customHeight="1">
      <c r="E150" s="86"/>
      <c r="F150" s="86"/>
      <c r="G150" s="87"/>
      <c r="K150" s="90"/>
      <c r="L150" s="90"/>
    </row>
    <row r="151" spans="5:12" ht="15.75" customHeight="1">
      <c r="E151" s="86"/>
      <c r="F151" s="86"/>
      <c r="G151" s="87"/>
      <c r="K151" s="90"/>
      <c r="L151" s="90"/>
    </row>
    <row r="152" spans="5:12" ht="15.75" customHeight="1">
      <c r="E152" s="86"/>
      <c r="F152" s="86"/>
      <c r="G152" s="87"/>
      <c r="K152" s="90"/>
      <c r="L152" s="90"/>
    </row>
    <row r="153" spans="5:12" ht="15.75" customHeight="1">
      <c r="E153" s="86"/>
      <c r="F153" s="86"/>
      <c r="G153" s="87"/>
      <c r="K153" s="90"/>
      <c r="L153" s="90"/>
    </row>
    <row r="154" spans="5:12" ht="15.75" customHeight="1">
      <c r="E154" s="86"/>
      <c r="F154" s="86"/>
      <c r="G154" s="87"/>
      <c r="K154" s="90"/>
      <c r="L154" s="90"/>
    </row>
    <row r="155" spans="5:12" ht="15.75" customHeight="1">
      <c r="E155" s="86"/>
      <c r="F155" s="86"/>
      <c r="G155" s="87"/>
      <c r="K155" s="90"/>
      <c r="L155" s="90"/>
    </row>
    <row r="156" spans="5:12" ht="15.75" customHeight="1">
      <c r="E156" s="86"/>
      <c r="F156" s="86"/>
      <c r="G156" s="87"/>
      <c r="K156" s="90"/>
      <c r="L156" s="90"/>
    </row>
    <row r="157" spans="5:12" ht="15.75" customHeight="1">
      <c r="E157" s="86"/>
      <c r="F157" s="86"/>
      <c r="G157" s="87"/>
      <c r="K157" s="90"/>
      <c r="L157" s="90"/>
    </row>
    <row r="158" spans="5:12" ht="15.75" customHeight="1">
      <c r="E158" s="86"/>
      <c r="F158" s="86"/>
      <c r="G158" s="87"/>
      <c r="K158" s="90"/>
      <c r="L158" s="90"/>
    </row>
    <row r="159" spans="5:12" ht="15.75" customHeight="1">
      <c r="E159" s="86"/>
      <c r="F159" s="86"/>
      <c r="G159" s="87"/>
      <c r="K159" s="90"/>
      <c r="L159" s="90"/>
    </row>
    <row r="160" spans="5:12" ht="15.75" customHeight="1">
      <c r="E160" s="86"/>
      <c r="F160" s="86"/>
      <c r="G160" s="87"/>
      <c r="K160" s="90"/>
      <c r="L160" s="90"/>
    </row>
    <row r="161" spans="5:12" ht="15.75" customHeight="1">
      <c r="E161" s="86"/>
      <c r="F161" s="86"/>
      <c r="G161" s="87"/>
      <c r="K161" s="90"/>
      <c r="L161" s="90"/>
    </row>
    <row r="162" spans="5:12" ht="15.75" customHeight="1">
      <c r="E162" s="86"/>
      <c r="F162" s="86"/>
      <c r="G162" s="87"/>
      <c r="K162" s="90"/>
      <c r="L162" s="90"/>
    </row>
    <row r="163" spans="5:12" ht="15.75" customHeight="1">
      <c r="E163" s="86"/>
      <c r="F163" s="86"/>
      <c r="G163" s="87"/>
      <c r="K163" s="90"/>
      <c r="L163" s="90"/>
    </row>
    <row r="164" spans="5:12" ht="15.75" customHeight="1">
      <c r="E164" s="86"/>
      <c r="F164" s="86"/>
      <c r="G164" s="87"/>
      <c r="K164" s="90"/>
      <c r="L164" s="90"/>
    </row>
    <row r="165" spans="5:12" ht="15.75" customHeight="1">
      <c r="E165" s="86"/>
      <c r="F165" s="86"/>
      <c r="G165" s="87"/>
      <c r="K165" s="90"/>
      <c r="L165" s="90"/>
    </row>
    <row r="166" spans="5:12" ht="15.75" customHeight="1">
      <c r="E166" s="86"/>
      <c r="F166" s="86"/>
      <c r="G166" s="87"/>
      <c r="K166" s="90"/>
      <c r="L166" s="90"/>
    </row>
    <row r="167" spans="5:12" ht="15.75" customHeight="1">
      <c r="E167" s="86"/>
      <c r="F167" s="86"/>
      <c r="G167" s="87"/>
      <c r="K167" s="90"/>
      <c r="L167" s="90"/>
    </row>
    <row r="168" spans="5:12" ht="15.75" customHeight="1">
      <c r="E168" s="86"/>
      <c r="F168" s="86"/>
      <c r="G168" s="87"/>
      <c r="K168" s="90"/>
      <c r="L168" s="90"/>
    </row>
    <row r="169" spans="5:12" ht="15.75" customHeight="1">
      <c r="E169" s="86"/>
      <c r="F169" s="86"/>
      <c r="G169" s="87"/>
      <c r="K169" s="90"/>
      <c r="L169" s="90"/>
    </row>
    <row r="170" spans="5:12" ht="15.75" customHeight="1">
      <c r="E170" s="86"/>
      <c r="F170" s="86"/>
      <c r="G170" s="87"/>
      <c r="K170" s="90"/>
      <c r="L170" s="90"/>
    </row>
    <row r="171" spans="5:12" ht="15.75" customHeight="1">
      <c r="E171" s="86"/>
      <c r="F171" s="86"/>
      <c r="G171" s="87"/>
      <c r="K171" s="90"/>
      <c r="L171" s="90"/>
    </row>
    <row r="172" spans="5:12" ht="15.75" customHeight="1">
      <c r="E172" s="86"/>
      <c r="F172" s="86"/>
      <c r="G172" s="87"/>
      <c r="K172" s="90"/>
      <c r="L172" s="90"/>
    </row>
    <row r="173" spans="5:12" ht="15.75" customHeight="1">
      <c r="E173" s="86"/>
      <c r="F173" s="86"/>
      <c r="G173" s="87"/>
      <c r="K173" s="90"/>
      <c r="L173" s="90"/>
    </row>
    <row r="174" spans="5:12" ht="15.75" customHeight="1">
      <c r="E174" s="86"/>
      <c r="F174" s="86"/>
      <c r="G174" s="87"/>
      <c r="K174" s="90"/>
      <c r="L174" s="90"/>
    </row>
    <row r="175" spans="5:12" ht="15.75" customHeight="1">
      <c r="E175" s="86"/>
      <c r="F175" s="86"/>
      <c r="G175" s="87"/>
      <c r="K175" s="90"/>
      <c r="L175" s="90"/>
    </row>
    <row r="176" spans="5:12" ht="15.75" customHeight="1">
      <c r="E176" s="86"/>
      <c r="F176" s="86"/>
      <c r="G176" s="87"/>
      <c r="K176" s="90"/>
      <c r="L176" s="90"/>
    </row>
    <row r="177" spans="5:12" ht="15.75" customHeight="1">
      <c r="E177" s="86"/>
      <c r="F177" s="86"/>
      <c r="G177" s="87"/>
      <c r="K177" s="90"/>
      <c r="L177" s="90"/>
    </row>
    <row r="178" spans="5:12" ht="15.75" customHeight="1">
      <c r="E178" s="86"/>
      <c r="F178" s="86"/>
      <c r="G178" s="87"/>
      <c r="K178" s="90"/>
      <c r="L178" s="90"/>
    </row>
    <row r="179" spans="5:12" ht="15.75" customHeight="1">
      <c r="E179" s="86"/>
      <c r="F179" s="86"/>
      <c r="G179" s="87"/>
      <c r="K179" s="90"/>
      <c r="L179" s="90"/>
    </row>
    <row r="180" spans="5:12" ht="15.75" customHeight="1">
      <c r="E180" s="86"/>
      <c r="F180" s="86"/>
      <c r="G180" s="87"/>
      <c r="K180" s="90"/>
      <c r="L180" s="90"/>
    </row>
    <row r="181" spans="5:12" ht="15.75" customHeight="1">
      <c r="E181" s="86"/>
      <c r="F181" s="86"/>
      <c r="G181" s="87"/>
      <c r="K181" s="90"/>
      <c r="L181" s="90"/>
    </row>
    <row r="182" spans="5:12" ht="15.75" customHeight="1">
      <c r="E182" s="86"/>
      <c r="F182" s="86"/>
      <c r="G182" s="87"/>
      <c r="K182" s="90"/>
      <c r="L182" s="90"/>
    </row>
    <row r="183" spans="5:12" ht="15.75" customHeight="1">
      <c r="E183" s="86"/>
      <c r="F183" s="86"/>
      <c r="G183" s="87"/>
      <c r="K183" s="90"/>
      <c r="L183" s="90"/>
    </row>
    <row r="184" spans="5:12" ht="15.75" customHeight="1">
      <c r="E184" s="86"/>
      <c r="F184" s="86"/>
      <c r="G184" s="87"/>
      <c r="K184" s="90"/>
      <c r="L184" s="90"/>
    </row>
    <row r="185" spans="5:12" ht="15.75" customHeight="1">
      <c r="E185" s="86"/>
      <c r="F185" s="86"/>
      <c r="G185" s="87"/>
      <c r="K185" s="90"/>
      <c r="L185" s="90"/>
    </row>
    <row r="186" spans="5:12" ht="15.75" customHeight="1">
      <c r="E186" s="86"/>
      <c r="F186" s="86"/>
      <c r="G186" s="87"/>
      <c r="K186" s="90"/>
      <c r="L186" s="90"/>
    </row>
    <row r="187" spans="5:12" ht="15.75" customHeight="1">
      <c r="E187" s="86"/>
      <c r="F187" s="86"/>
      <c r="G187" s="87"/>
      <c r="K187" s="90"/>
      <c r="L187" s="90"/>
    </row>
    <row r="188" spans="5:12" ht="15.75" customHeight="1">
      <c r="E188" s="86"/>
      <c r="F188" s="86"/>
      <c r="G188" s="87"/>
      <c r="K188" s="90"/>
      <c r="L188" s="90"/>
    </row>
    <row r="189" spans="5:12" ht="15.75" customHeight="1">
      <c r="E189" s="86"/>
      <c r="F189" s="86"/>
      <c r="G189" s="87"/>
      <c r="K189" s="90"/>
      <c r="L189" s="90"/>
    </row>
    <row r="190" spans="5:12" ht="15.75" customHeight="1">
      <c r="E190" s="86"/>
      <c r="F190" s="86"/>
      <c r="G190" s="87"/>
      <c r="K190" s="90"/>
      <c r="L190" s="90"/>
    </row>
    <row r="191" spans="5:12" ht="15.75" customHeight="1">
      <c r="E191" s="86"/>
      <c r="F191" s="86"/>
      <c r="G191" s="87"/>
      <c r="K191" s="90"/>
      <c r="L191" s="90"/>
    </row>
    <row r="192" spans="5:12" ht="15.75" customHeight="1">
      <c r="E192" s="86"/>
      <c r="F192" s="86"/>
      <c r="G192" s="87"/>
      <c r="K192" s="90"/>
      <c r="L192" s="90"/>
    </row>
    <row r="193" spans="5:12" ht="15.75" customHeight="1">
      <c r="E193" s="86"/>
      <c r="F193" s="86"/>
      <c r="G193" s="87"/>
      <c r="K193" s="90"/>
      <c r="L193" s="90"/>
    </row>
    <row r="194" spans="5:12" ht="15.75" customHeight="1">
      <c r="E194" s="86"/>
      <c r="F194" s="86"/>
      <c r="G194" s="87"/>
      <c r="K194" s="90"/>
      <c r="L194" s="90"/>
    </row>
    <row r="195" spans="5:12" ht="15.75" customHeight="1">
      <c r="E195" s="86"/>
      <c r="F195" s="86"/>
      <c r="G195" s="87"/>
      <c r="K195" s="90"/>
      <c r="L195" s="90"/>
    </row>
    <row r="196" spans="5:12" ht="15.75" customHeight="1">
      <c r="E196" s="86"/>
      <c r="F196" s="86"/>
      <c r="G196" s="87"/>
      <c r="K196" s="90"/>
      <c r="L196" s="90"/>
    </row>
    <row r="197" spans="5:12" ht="15.75" customHeight="1">
      <c r="E197" s="86"/>
      <c r="F197" s="86"/>
      <c r="G197" s="87"/>
      <c r="K197" s="90"/>
      <c r="L197" s="90"/>
    </row>
    <row r="198" spans="5:12" ht="15.75" customHeight="1">
      <c r="E198" s="86"/>
      <c r="F198" s="86"/>
      <c r="G198" s="87"/>
      <c r="K198" s="90"/>
      <c r="L198" s="90"/>
    </row>
    <row r="199" spans="5:12" ht="15.75" customHeight="1">
      <c r="E199" s="86"/>
      <c r="F199" s="86"/>
      <c r="G199" s="87"/>
      <c r="K199" s="90"/>
      <c r="L199" s="90"/>
    </row>
    <row r="200" spans="5:12" ht="15.75" customHeight="1">
      <c r="E200" s="86"/>
      <c r="F200" s="86"/>
      <c r="G200" s="87"/>
      <c r="K200" s="90"/>
      <c r="L200" s="90"/>
    </row>
    <row r="201" spans="5:12" ht="15.75" customHeight="1">
      <c r="E201" s="86"/>
      <c r="F201" s="86"/>
      <c r="G201" s="87"/>
      <c r="K201" s="90"/>
      <c r="L201" s="90"/>
    </row>
    <row r="202" spans="5:12" ht="15.75" customHeight="1">
      <c r="E202" s="86"/>
      <c r="F202" s="86"/>
      <c r="G202" s="87"/>
      <c r="K202" s="90"/>
      <c r="L202" s="90"/>
    </row>
    <row r="203" spans="5:12" ht="15.75" customHeight="1">
      <c r="E203" s="86"/>
      <c r="F203" s="86"/>
      <c r="G203" s="87"/>
      <c r="K203" s="90"/>
      <c r="L203" s="90"/>
    </row>
    <row r="204" spans="5:12" ht="15.75" customHeight="1">
      <c r="E204" s="86"/>
      <c r="F204" s="86"/>
      <c r="G204" s="87"/>
      <c r="K204" s="90"/>
      <c r="L204" s="90"/>
    </row>
    <row r="205" spans="5:12" ht="15.75" customHeight="1">
      <c r="E205" s="86"/>
      <c r="F205" s="86"/>
      <c r="G205" s="87"/>
      <c r="K205" s="90"/>
      <c r="L205" s="90"/>
    </row>
    <row r="206" spans="5:12" ht="15.75" customHeight="1">
      <c r="E206" s="86"/>
      <c r="F206" s="86"/>
      <c r="G206" s="87"/>
      <c r="K206" s="90"/>
      <c r="L206" s="90"/>
    </row>
    <row r="207" spans="5:12" ht="15.75" customHeight="1">
      <c r="E207" s="86"/>
      <c r="F207" s="86"/>
      <c r="G207" s="87"/>
      <c r="K207" s="90"/>
      <c r="L207" s="90"/>
    </row>
    <row r="208" spans="5:12" ht="15.75" customHeight="1">
      <c r="E208" s="86"/>
      <c r="F208" s="86"/>
      <c r="G208" s="87"/>
      <c r="K208" s="90"/>
      <c r="L208" s="90"/>
    </row>
    <row r="209" spans="5:12" ht="15.75" customHeight="1">
      <c r="E209" s="86"/>
      <c r="F209" s="86"/>
      <c r="G209" s="87"/>
      <c r="K209" s="90"/>
      <c r="L209" s="90"/>
    </row>
    <row r="210" spans="5:12" ht="15.75" customHeight="1">
      <c r="E210" s="86"/>
      <c r="F210" s="86"/>
      <c r="G210" s="87"/>
      <c r="K210" s="90"/>
      <c r="L210" s="90"/>
    </row>
    <row r="211" spans="5:12" ht="15.75" customHeight="1">
      <c r="E211" s="86"/>
      <c r="F211" s="86"/>
      <c r="G211" s="87"/>
      <c r="K211" s="90"/>
      <c r="L211" s="90"/>
    </row>
    <row r="212" spans="5:12" ht="15.75" customHeight="1">
      <c r="E212" s="86"/>
      <c r="F212" s="86"/>
      <c r="G212" s="87"/>
      <c r="K212" s="90"/>
      <c r="L212" s="90"/>
    </row>
    <row r="213" spans="5:12" ht="15.75" customHeight="1">
      <c r="E213" s="86"/>
      <c r="F213" s="86"/>
      <c r="G213" s="87"/>
      <c r="K213" s="90"/>
      <c r="L213" s="90"/>
    </row>
    <row r="214" spans="5:12" ht="15.75" customHeight="1">
      <c r="E214" s="86"/>
      <c r="F214" s="86"/>
      <c r="G214" s="87"/>
      <c r="K214" s="90"/>
      <c r="L214" s="90"/>
    </row>
    <row r="215" spans="5:12" ht="15.75" customHeight="1">
      <c r="E215" s="86"/>
      <c r="F215" s="86"/>
      <c r="G215" s="87"/>
      <c r="K215" s="90"/>
      <c r="L215" s="90"/>
    </row>
    <row r="216" spans="5:12" ht="15.75" customHeight="1">
      <c r="E216" s="86"/>
      <c r="F216" s="86"/>
      <c r="G216" s="87"/>
      <c r="K216" s="90"/>
      <c r="L216" s="90"/>
    </row>
    <row r="217" spans="5:12" ht="15.75" customHeight="1">
      <c r="E217" s="86"/>
      <c r="F217" s="86"/>
      <c r="G217" s="87"/>
      <c r="K217" s="90"/>
      <c r="L217" s="90"/>
    </row>
    <row r="218" spans="5:12" ht="15.75" customHeight="1">
      <c r="E218" s="86"/>
      <c r="F218" s="86"/>
      <c r="G218" s="87"/>
      <c r="K218" s="90"/>
      <c r="L218" s="90"/>
    </row>
    <row r="219" spans="5:12" ht="15.75" customHeight="1">
      <c r="E219" s="86"/>
      <c r="F219" s="86"/>
      <c r="G219" s="87"/>
      <c r="K219" s="90"/>
      <c r="L219" s="90"/>
    </row>
    <row r="220" spans="5:12" ht="15.75" customHeight="1">
      <c r="E220" s="86"/>
      <c r="F220" s="86"/>
      <c r="G220" s="87"/>
      <c r="K220" s="90"/>
      <c r="L220" s="90"/>
    </row>
    <row r="221" spans="5:12" ht="15.75" customHeight="1">
      <c r="E221" s="86"/>
      <c r="F221" s="86"/>
      <c r="G221" s="87"/>
      <c r="K221" s="90"/>
      <c r="L221" s="90"/>
    </row>
    <row r="222" spans="5:12" ht="15.75" customHeight="1">
      <c r="E222" s="86"/>
      <c r="F222" s="86"/>
      <c r="G222" s="87"/>
      <c r="K222" s="90"/>
      <c r="L222" s="90"/>
    </row>
    <row r="223" spans="5:12" ht="15.75" customHeight="1">
      <c r="E223" s="86"/>
      <c r="F223" s="86"/>
      <c r="G223" s="87"/>
      <c r="K223" s="90"/>
      <c r="L223" s="90"/>
    </row>
    <row r="224" spans="5:12" ht="15.75" customHeight="1">
      <c r="E224" s="86"/>
      <c r="F224" s="86"/>
      <c r="G224" s="87"/>
      <c r="K224" s="90"/>
      <c r="L224" s="90"/>
    </row>
    <row r="225" spans="5:12" ht="15.75" customHeight="1">
      <c r="E225" s="86"/>
      <c r="F225" s="86"/>
      <c r="G225" s="87"/>
      <c r="K225" s="90"/>
      <c r="L225" s="90"/>
    </row>
    <row r="226" spans="5:12" ht="15.75" customHeight="1">
      <c r="E226" s="86"/>
      <c r="F226" s="86"/>
      <c r="G226" s="87"/>
      <c r="K226" s="90"/>
      <c r="L226" s="90"/>
    </row>
    <row r="227" spans="5:12" ht="15.75" customHeight="1">
      <c r="E227" s="86"/>
      <c r="F227" s="86"/>
      <c r="G227" s="87"/>
      <c r="K227" s="90"/>
      <c r="L227" s="90"/>
    </row>
    <row r="228" spans="5:12" ht="15.75" customHeight="1">
      <c r="E228" s="86"/>
      <c r="F228" s="86"/>
      <c r="G228" s="87"/>
      <c r="K228" s="90"/>
      <c r="L228" s="90"/>
    </row>
    <row r="229" spans="5:12" ht="15.75" customHeight="1">
      <c r="E229" s="86"/>
      <c r="F229" s="86"/>
      <c r="G229" s="87"/>
      <c r="K229" s="90"/>
      <c r="L229" s="90"/>
    </row>
    <row r="230" spans="5:12" ht="15.75" customHeight="1">
      <c r="E230" s="86"/>
      <c r="F230" s="86"/>
      <c r="G230" s="87"/>
      <c r="K230" s="90"/>
      <c r="L230" s="90"/>
    </row>
    <row r="231" spans="5:12" ht="15.75" customHeight="1">
      <c r="E231" s="86"/>
      <c r="F231" s="86"/>
      <c r="G231" s="87"/>
      <c r="K231" s="90"/>
      <c r="L231" s="90"/>
    </row>
    <row r="232" spans="5:12" ht="15.75" customHeight="1">
      <c r="E232" s="86"/>
      <c r="F232" s="86"/>
      <c r="G232" s="87"/>
      <c r="K232" s="90"/>
      <c r="L232" s="90"/>
    </row>
    <row r="233" spans="5:12" ht="15.75" customHeight="1">
      <c r="E233" s="86"/>
      <c r="F233" s="86"/>
      <c r="G233" s="87"/>
      <c r="K233" s="90"/>
      <c r="L233" s="90"/>
    </row>
    <row r="234" spans="5:12" ht="15.75" customHeight="1">
      <c r="E234" s="86"/>
      <c r="F234" s="86"/>
      <c r="G234" s="87"/>
      <c r="K234" s="90"/>
      <c r="L234" s="90"/>
    </row>
    <row r="235" spans="5:12" ht="15.75" customHeight="1">
      <c r="E235" s="86"/>
      <c r="F235" s="86"/>
      <c r="G235" s="87"/>
      <c r="K235" s="90"/>
      <c r="L235" s="90"/>
    </row>
    <row r="236" spans="5:12" ht="15.75" customHeight="1">
      <c r="E236" s="86"/>
      <c r="F236" s="86"/>
      <c r="G236" s="87"/>
      <c r="K236" s="90"/>
      <c r="L236" s="90"/>
    </row>
    <row r="237" spans="5:12" ht="15.75" customHeight="1">
      <c r="E237" s="86"/>
      <c r="F237" s="86"/>
      <c r="G237" s="87"/>
      <c r="K237" s="90"/>
      <c r="L237" s="90"/>
    </row>
    <row r="238" spans="5:12" ht="15.75" customHeight="1">
      <c r="E238" s="86"/>
      <c r="F238" s="86"/>
      <c r="G238" s="87"/>
      <c r="K238" s="90"/>
      <c r="L238" s="90"/>
    </row>
    <row r="239" spans="5:12" ht="15.75" customHeight="1">
      <c r="E239" s="86"/>
      <c r="F239" s="86"/>
      <c r="G239" s="87"/>
      <c r="K239" s="90"/>
      <c r="L239" s="90"/>
    </row>
    <row r="240" spans="5:12" ht="15.75" customHeight="1">
      <c r="E240" s="86"/>
      <c r="F240" s="86"/>
      <c r="G240" s="87"/>
      <c r="K240" s="90"/>
      <c r="L240" s="90"/>
    </row>
    <row r="241" spans="5:12" ht="15.75" customHeight="1">
      <c r="E241" s="86"/>
      <c r="F241" s="86"/>
      <c r="G241" s="87"/>
      <c r="K241" s="90"/>
      <c r="L241" s="90"/>
    </row>
    <row r="242" spans="5:12" ht="15.75" customHeight="1">
      <c r="E242" s="86"/>
      <c r="F242" s="86"/>
      <c r="G242" s="87"/>
      <c r="K242" s="90"/>
      <c r="L242" s="90"/>
    </row>
    <row r="243" spans="5:12" ht="15.75" customHeight="1">
      <c r="E243" s="86"/>
      <c r="F243" s="86"/>
      <c r="G243" s="87"/>
      <c r="K243" s="90"/>
      <c r="L243" s="90"/>
    </row>
    <row r="244" spans="5:12" ht="15.75" customHeight="1">
      <c r="E244" s="86"/>
      <c r="F244" s="86"/>
      <c r="G244" s="87"/>
      <c r="K244" s="90"/>
      <c r="L244" s="90"/>
    </row>
    <row r="245" spans="5:12" ht="15.75" customHeight="1">
      <c r="E245" s="86"/>
      <c r="F245" s="86"/>
      <c r="G245" s="87"/>
      <c r="K245" s="90"/>
      <c r="L245" s="90"/>
    </row>
    <row r="246" spans="5:12" ht="15.75" customHeight="1">
      <c r="E246" s="86"/>
      <c r="F246" s="86"/>
      <c r="G246" s="87"/>
      <c r="K246" s="90"/>
      <c r="L246" s="90"/>
    </row>
    <row r="247" spans="5:12" ht="15.75" customHeight="1">
      <c r="E247" s="86"/>
      <c r="F247" s="86"/>
      <c r="G247" s="87"/>
      <c r="K247" s="90"/>
      <c r="L247" s="90"/>
    </row>
    <row r="248" spans="5:12" ht="15.75" customHeight="1">
      <c r="E248" s="86"/>
      <c r="F248" s="86"/>
      <c r="G248" s="87"/>
      <c r="K248" s="90"/>
      <c r="L248" s="90"/>
    </row>
    <row r="249" spans="5:12" ht="15.75" customHeight="1">
      <c r="E249" s="86"/>
      <c r="F249" s="86"/>
      <c r="G249" s="87"/>
      <c r="K249" s="90"/>
      <c r="L249" s="90"/>
    </row>
    <row r="250" spans="5:12" ht="15.75" customHeight="1">
      <c r="E250" s="86"/>
      <c r="F250" s="86"/>
      <c r="G250" s="87"/>
      <c r="K250" s="90"/>
      <c r="L250" s="90"/>
    </row>
    <row r="251" spans="5:12" ht="15.75" customHeight="1">
      <c r="E251" s="86"/>
      <c r="F251" s="86"/>
      <c r="G251" s="87"/>
      <c r="K251" s="90"/>
      <c r="L251" s="90"/>
    </row>
    <row r="252" spans="5:12" ht="15.75" customHeight="1">
      <c r="E252" s="86"/>
      <c r="F252" s="86"/>
      <c r="G252" s="87"/>
      <c r="K252" s="90"/>
      <c r="L252" s="90"/>
    </row>
    <row r="253" spans="5:12" ht="15.75" customHeight="1">
      <c r="E253" s="86"/>
      <c r="F253" s="86"/>
      <c r="G253" s="87"/>
      <c r="K253" s="90"/>
      <c r="L253" s="90"/>
    </row>
    <row r="254" spans="5:12" ht="15.75" customHeight="1">
      <c r="E254" s="86"/>
      <c r="F254" s="86"/>
      <c r="G254" s="87"/>
      <c r="K254" s="90"/>
      <c r="L254" s="90"/>
    </row>
    <row r="255" spans="5:12" ht="15.75" customHeight="1">
      <c r="E255" s="86"/>
      <c r="F255" s="86"/>
      <c r="G255" s="87"/>
      <c r="K255" s="90"/>
      <c r="L255" s="90"/>
    </row>
    <row r="256" spans="5:12" ht="15.75" customHeight="1">
      <c r="E256" s="86"/>
      <c r="F256" s="86"/>
      <c r="G256" s="87"/>
      <c r="K256" s="90"/>
      <c r="L256" s="90"/>
    </row>
    <row r="257" spans="5:12" ht="15.75" customHeight="1">
      <c r="E257" s="86"/>
      <c r="F257" s="86"/>
      <c r="G257" s="87"/>
      <c r="K257" s="90"/>
      <c r="L257" s="90"/>
    </row>
    <row r="258" spans="5:12" ht="15.75" customHeight="1">
      <c r="E258" s="86"/>
      <c r="F258" s="86"/>
      <c r="G258" s="87"/>
      <c r="K258" s="90"/>
      <c r="L258" s="90"/>
    </row>
    <row r="259" spans="5:12" ht="15.75" customHeight="1">
      <c r="E259" s="86"/>
      <c r="F259" s="86"/>
      <c r="G259" s="87"/>
      <c r="K259" s="90"/>
      <c r="L259" s="90"/>
    </row>
    <row r="260" spans="5:12" ht="15.75" customHeight="1">
      <c r="E260" s="86"/>
      <c r="F260" s="86"/>
      <c r="G260" s="87"/>
      <c r="K260" s="90"/>
      <c r="L260" s="90"/>
    </row>
    <row r="261" spans="5:12" ht="15.75" customHeight="1">
      <c r="E261" s="86"/>
      <c r="F261" s="86"/>
      <c r="G261" s="87"/>
      <c r="K261" s="90"/>
      <c r="L261" s="90"/>
    </row>
    <row r="262" spans="5:12" ht="15.75" customHeight="1">
      <c r="E262" s="86"/>
      <c r="F262" s="86"/>
      <c r="G262" s="87"/>
      <c r="K262" s="90"/>
      <c r="L262" s="90"/>
    </row>
    <row r="263" spans="5:12" ht="15.75" customHeight="1">
      <c r="E263" s="86"/>
      <c r="F263" s="86"/>
      <c r="G263" s="87"/>
      <c r="K263" s="90"/>
      <c r="L263" s="90"/>
    </row>
    <row r="264" spans="5:12" ht="15.75" customHeight="1">
      <c r="E264" s="86"/>
      <c r="F264" s="86"/>
      <c r="G264" s="87"/>
      <c r="K264" s="90"/>
      <c r="L264" s="90"/>
    </row>
    <row r="265" spans="5:12" ht="15.75" customHeight="1">
      <c r="E265" s="86"/>
      <c r="F265" s="86"/>
      <c r="G265" s="87"/>
      <c r="K265" s="90"/>
      <c r="L265" s="90"/>
    </row>
    <row r="266" spans="5:12" ht="15.75" customHeight="1">
      <c r="E266" s="86"/>
      <c r="F266" s="86"/>
      <c r="G266" s="87"/>
      <c r="K266" s="90"/>
      <c r="L266" s="90"/>
    </row>
    <row r="267" spans="5:12" ht="15.75" customHeight="1">
      <c r="E267" s="86"/>
      <c r="F267" s="86"/>
      <c r="G267" s="87"/>
      <c r="K267" s="90"/>
      <c r="L267" s="90"/>
    </row>
    <row r="268" spans="5:12" ht="15.75" customHeight="1">
      <c r="E268" s="86"/>
      <c r="F268" s="86"/>
      <c r="G268" s="87"/>
      <c r="K268" s="90"/>
      <c r="L268" s="90"/>
    </row>
    <row r="269" spans="5:12" ht="15.75" customHeight="1">
      <c r="E269" s="86"/>
      <c r="F269" s="86"/>
      <c r="G269" s="87"/>
      <c r="K269" s="90"/>
      <c r="L269" s="90"/>
    </row>
    <row r="270" spans="5:12" ht="15.75" customHeight="1">
      <c r="E270" s="86"/>
      <c r="F270" s="86"/>
      <c r="G270" s="87"/>
      <c r="K270" s="90"/>
      <c r="L270" s="90"/>
    </row>
    <row r="271" spans="5:12" ht="15.75" customHeight="1">
      <c r="E271" s="86"/>
      <c r="F271" s="86"/>
      <c r="G271" s="87"/>
      <c r="K271" s="90"/>
      <c r="L271" s="90"/>
    </row>
    <row r="272" spans="5:12" ht="15.75" customHeight="1">
      <c r="E272" s="86"/>
      <c r="F272" s="86"/>
      <c r="G272" s="87"/>
      <c r="K272" s="90"/>
      <c r="L272" s="90"/>
    </row>
    <row r="273" spans="5:12" ht="15.75" customHeight="1">
      <c r="E273" s="86"/>
      <c r="F273" s="86"/>
      <c r="G273" s="87"/>
      <c r="K273" s="90"/>
      <c r="L273" s="90"/>
    </row>
    <row r="274" spans="5:12" ht="15.75" customHeight="1">
      <c r="E274" s="86"/>
      <c r="F274" s="86"/>
      <c r="G274" s="87"/>
      <c r="K274" s="90"/>
      <c r="L274" s="90"/>
    </row>
    <row r="275" spans="5:12" ht="15.75" customHeight="1">
      <c r="E275" s="86"/>
      <c r="F275" s="86"/>
      <c r="G275" s="87"/>
      <c r="K275" s="90"/>
      <c r="L275" s="90"/>
    </row>
    <row r="276" spans="5:12" ht="15.75" customHeight="1">
      <c r="E276" s="86"/>
      <c r="F276" s="86"/>
      <c r="G276" s="87"/>
      <c r="K276" s="90"/>
      <c r="L276" s="90"/>
    </row>
    <row r="277" spans="5:12" ht="15.75" customHeight="1">
      <c r="E277" s="86"/>
      <c r="F277" s="86"/>
      <c r="G277" s="87"/>
      <c r="K277" s="90"/>
      <c r="L277" s="90"/>
    </row>
    <row r="278" spans="5:12" ht="15.75" customHeight="1">
      <c r="E278" s="86"/>
      <c r="F278" s="86"/>
      <c r="G278" s="87"/>
      <c r="K278" s="90"/>
      <c r="L278" s="90"/>
    </row>
    <row r="279" spans="5:12" ht="15.75" customHeight="1">
      <c r="E279" s="86"/>
      <c r="F279" s="86"/>
      <c r="G279" s="87"/>
      <c r="K279" s="90"/>
      <c r="L279" s="90"/>
    </row>
    <row r="280" spans="5:12" ht="15.75" customHeight="1">
      <c r="E280" s="86"/>
      <c r="F280" s="86"/>
      <c r="G280" s="87"/>
      <c r="K280" s="90"/>
      <c r="L280" s="90"/>
    </row>
    <row r="281" spans="5:12" ht="15.75" customHeight="1">
      <c r="E281" s="86"/>
      <c r="F281" s="86"/>
      <c r="G281" s="87"/>
      <c r="K281" s="90"/>
      <c r="L281" s="90"/>
    </row>
    <row r="282" spans="5:12" ht="15.75" customHeight="1">
      <c r="E282" s="86"/>
      <c r="F282" s="86"/>
      <c r="G282" s="87"/>
      <c r="K282" s="90"/>
      <c r="L282" s="90"/>
    </row>
    <row r="283" spans="5:12" ht="15.75" customHeight="1">
      <c r="E283" s="86"/>
      <c r="F283" s="86"/>
      <c r="G283" s="87"/>
      <c r="K283" s="90"/>
      <c r="L283" s="90"/>
    </row>
    <row r="284" spans="5:12" ht="15.75" customHeight="1">
      <c r="E284" s="86"/>
      <c r="F284" s="86"/>
      <c r="G284" s="87"/>
      <c r="K284" s="90"/>
      <c r="L284" s="90"/>
    </row>
    <row r="285" spans="5:12" ht="15.75" customHeight="1">
      <c r="E285" s="86"/>
      <c r="F285" s="86"/>
      <c r="G285" s="87"/>
      <c r="K285" s="90"/>
      <c r="L285" s="90"/>
    </row>
    <row r="286" spans="5:12" ht="15.75" customHeight="1">
      <c r="E286" s="86"/>
      <c r="F286" s="86"/>
      <c r="G286" s="87"/>
      <c r="K286" s="90"/>
      <c r="L286" s="90"/>
    </row>
    <row r="287" spans="5:12" ht="15.75" customHeight="1">
      <c r="E287" s="86"/>
      <c r="F287" s="86"/>
      <c r="G287" s="87"/>
      <c r="K287" s="90"/>
      <c r="L287" s="90"/>
    </row>
    <row r="288" spans="5:12" ht="15.75" customHeight="1">
      <c r="E288" s="86"/>
      <c r="F288" s="86"/>
      <c r="G288" s="87"/>
      <c r="K288" s="90"/>
      <c r="L288" s="90"/>
    </row>
    <row r="289" spans="5:12" ht="15.75" customHeight="1">
      <c r="E289" s="86"/>
      <c r="F289" s="86"/>
      <c r="G289" s="87"/>
      <c r="K289" s="90"/>
      <c r="L289" s="90"/>
    </row>
    <row r="290" spans="5:12" ht="15.75" customHeight="1">
      <c r="E290" s="86"/>
      <c r="F290" s="86"/>
      <c r="G290" s="87"/>
      <c r="K290" s="90"/>
      <c r="L290" s="90"/>
    </row>
    <row r="291" spans="5:12" ht="15.75" customHeight="1">
      <c r="E291" s="86"/>
      <c r="F291" s="86"/>
      <c r="G291" s="87"/>
      <c r="K291" s="90"/>
      <c r="L291" s="90"/>
    </row>
    <row r="292" spans="5:12" ht="15.75" customHeight="1">
      <c r="E292" s="86"/>
      <c r="F292" s="86"/>
      <c r="G292" s="87"/>
      <c r="K292" s="90"/>
      <c r="L292" s="90"/>
    </row>
    <row r="293" spans="5:12" ht="15.75" customHeight="1">
      <c r="E293" s="86"/>
      <c r="F293" s="86"/>
      <c r="G293" s="87"/>
      <c r="K293" s="90"/>
      <c r="L293" s="90"/>
    </row>
    <row r="294" spans="5:12" ht="15.75" customHeight="1">
      <c r="E294" s="86"/>
      <c r="F294" s="86"/>
      <c r="G294" s="87"/>
      <c r="K294" s="90"/>
      <c r="L294" s="90"/>
    </row>
    <row r="295" spans="5:12" ht="15.75" customHeight="1">
      <c r="E295" s="86"/>
      <c r="F295" s="86"/>
      <c r="G295" s="87"/>
      <c r="K295" s="90"/>
      <c r="L295" s="90"/>
    </row>
    <row r="296" spans="5:12" ht="15.75" customHeight="1">
      <c r="E296" s="86"/>
      <c r="F296" s="86"/>
      <c r="G296" s="87"/>
      <c r="K296" s="90"/>
      <c r="L296" s="90"/>
    </row>
    <row r="297" spans="5:12" ht="15.75" customHeight="1">
      <c r="E297" s="86"/>
      <c r="F297" s="86"/>
      <c r="G297" s="87"/>
      <c r="K297" s="90"/>
      <c r="L297" s="90"/>
    </row>
    <row r="298" spans="5:12" ht="15.75" customHeight="1">
      <c r="E298" s="86"/>
      <c r="F298" s="86"/>
      <c r="G298" s="87"/>
      <c r="K298" s="90"/>
      <c r="L298" s="90"/>
    </row>
    <row r="299" spans="5:12" ht="15.75" customHeight="1">
      <c r="E299" s="86"/>
      <c r="F299" s="86"/>
      <c r="G299" s="87"/>
      <c r="K299" s="90"/>
      <c r="L299" s="90"/>
    </row>
    <row r="300" spans="5:12" ht="15.75" customHeight="1">
      <c r="E300" s="86"/>
      <c r="F300" s="86"/>
      <c r="G300" s="87"/>
      <c r="K300" s="90"/>
      <c r="L300" s="90"/>
    </row>
    <row r="301" spans="5:12" ht="15.75" customHeight="1">
      <c r="E301" s="86"/>
      <c r="F301" s="86"/>
      <c r="G301" s="87"/>
      <c r="K301" s="90"/>
      <c r="L301" s="90"/>
    </row>
    <row r="302" spans="5:12" ht="15.75" customHeight="1">
      <c r="E302" s="86"/>
      <c r="F302" s="86"/>
      <c r="G302" s="87"/>
      <c r="K302" s="90"/>
      <c r="L302" s="90"/>
    </row>
    <row r="303" spans="5:12" ht="15.75" customHeight="1">
      <c r="E303" s="86"/>
      <c r="F303" s="86"/>
      <c r="G303" s="87"/>
      <c r="K303" s="90"/>
      <c r="L303" s="90"/>
    </row>
    <row r="304" spans="5:12" ht="15.75" customHeight="1">
      <c r="E304" s="86"/>
      <c r="F304" s="86"/>
      <c r="G304" s="87"/>
      <c r="K304" s="90"/>
      <c r="L304" s="90"/>
    </row>
    <row r="305" spans="5:12" ht="15.75" customHeight="1">
      <c r="E305" s="86"/>
      <c r="F305" s="86"/>
      <c r="G305" s="87"/>
      <c r="K305" s="90"/>
      <c r="L305" s="90"/>
    </row>
    <row r="306" spans="5:12" ht="15.75" customHeight="1">
      <c r="E306" s="86"/>
      <c r="F306" s="86"/>
      <c r="G306" s="87"/>
      <c r="K306" s="90"/>
      <c r="L306" s="90"/>
    </row>
    <row r="307" spans="5:12" ht="15.75" customHeight="1">
      <c r="E307" s="86"/>
      <c r="F307" s="86"/>
      <c r="G307" s="87"/>
      <c r="K307" s="90"/>
      <c r="L307" s="90"/>
    </row>
    <row r="308" spans="5:12" ht="15.75" customHeight="1">
      <c r="E308" s="86"/>
      <c r="F308" s="86"/>
      <c r="G308" s="87"/>
      <c r="K308" s="90"/>
      <c r="L308" s="90"/>
    </row>
    <row r="309" spans="5:12" ht="15.75" customHeight="1">
      <c r="E309" s="86"/>
      <c r="F309" s="86"/>
      <c r="G309" s="87"/>
      <c r="K309" s="90"/>
      <c r="L309" s="90"/>
    </row>
    <row r="310" spans="5:12" ht="15.75" customHeight="1">
      <c r="E310" s="86"/>
      <c r="F310" s="86"/>
      <c r="G310" s="87"/>
      <c r="K310" s="90"/>
      <c r="L310" s="90"/>
    </row>
    <row r="311" spans="5:12" ht="15.75" customHeight="1">
      <c r="E311" s="86"/>
      <c r="F311" s="86"/>
      <c r="G311" s="87"/>
      <c r="K311" s="90"/>
      <c r="L311" s="90"/>
    </row>
    <row r="312" spans="5:12" ht="15.75" customHeight="1">
      <c r="E312" s="86"/>
      <c r="F312" s="86"/>
      <c r="G312" s="87"/>
      <c r="K312" s="90"/>
      <c r="L312" s="90"/>
    </row>
    <row r="313" spans="5:12" ht="15.75" customHeight="1">
      <c r="E313" s="86"/>
      <c r="F313" s="86"/>
      <c r="G313" s="87"/>
      <c r="K313" s="90"/>
      <c r="L313" s="90"/>
    </row>
    <row r="314" spans="5:12" ht="15.75" customHeight="1">
      <c r="E314" s="86"/>
      <c r="F314" s="86"/>
      <c r="G314" s="87"/>
      <c r="K314" s="90"/>
      <c r="L314" s="90"/>
    </row>
    <row r="315" spans="5:12" ht="15.75" customHeight="1">
      <c r="E315" s="86"/>
      <c r="F315" s="86"/>
      <c r="G315" s="87"/>
      <c r="K315" s="90"/>
      <c r="L315" s="90"/>
    </row>
    <row r="316" spans="5:12" ht="15.75" customHeight="1">
      <c r="E316" s="86"/>
      <c r="F316" s="86"/>
      <c r="G316" s="87"/>
      <c r="K316" s="90"/>
      <c r="L316" s="90"/>
    </row>
    <row r="317" spans="5:12" ht="15.75" customHeight="1">
      <c r="E317" s="86"/>
      <c r="F317" s="86"/>
      <c r="G317" s="87"/>
      <c r="K317" s="90"/>
      <c r="L317" s="90"/>
    </row>
    <row r="318" spans="5:12" ht="15.75" customHeight="1">
      <c r="E318" s="86"/>
      <c r="F318" s="86"/>
      <c r="G318" s="87"/>
      <c r="K318" s="90"/>
      <c r="L318" s="90"/>
    </row>
    <row r="319" spans="5:12" ht="15.75" customHeight="1">
      <c r="E319" s="86"/>
      <c r="F319" s="86"/>
      <c r="G319" s="87"/>
      <c r="K319" s="90"/>
      <c r="L319" s="90"/>
    </row>
    <row r="320" spans="5:12" ht="15.75" customHeight="1">
      <c r="E320" s="86"/>
      <c r="F320" s="86"/>
      <c r="G320" s="87"/>
      <c r="K320" s="90"/>
      <c r="L320" s="90"/>
    </row>
    <row r="321" spans="5:12" ht="15.75" customHeight="1">
      <c r="E321" s="86"/>
      <c r="F321" s="86"/>
      <c r="G321" s="87"/>
      <c r="K321" s="90"/>
      <c r="L321" s="90"/>
    </row>
    <row r="322" spans="5:12" ht="15.75" customHeight="1">
      <c r="E322" s="86"/>
      <c r="F322" s="86"/>
      <c r="G322" s="87"/>
      <c r="K322" s="90"/>
      <c r="L322" s="90"/>
    </row>
    <row r="323" spans="5:12" ht="15.75" customHeight="1">
      <c r="E323" s="86"/>
      <c r="F323" s="86"/>
      <c r="G323" s="87"/>
      <c r="K323" s="90"/>
      <c r="L323" s="90"/>
    </row>
    <row r="324" spans="5:12" ht="15.75" customHeight="1">
      <c r="E324" s="86"/>
      <c r="F324" s="86"/>
      <c r="G324" s="87"/>
      <c r="K324" s="90"/>
      <c r="L324" s="90"/>
    </row>
    <row r="325" spans="5:12" ht="15.75" customHeight="1">
      <c r="E325" s="86"/>
      <c r="F325" s="86"/>
      <c r="G325" s="87"/>
      <c r="K325" s="90"/>
      <c r="L325" s="90"/>
    </row>
    <row r="326" spans="5:12" ht="15.75" customHeight="1">
      <c r="E326" s="86"/>
      <c r="F326" s="86"/>
      <c r="G326" s="87"/>
      <c r="K326" s="90"/>
      <c r="L326" s="90"/>
    </row>
    <row r="327" spans="5:12" ht="15.75" customHeight="1">
      <c r="E327" s="86"/>
      <c r="F327" s="86"/>
      <c r="G327" s="87"/>
      <c r="K327" s="90"/>
      <c r="L327" s="90"/>
    </row>
    <row r="328" spans="5:12" ht="15.75" customHeight="1">
      <c r="E328" s="86"/>
      <c r="F328" s="86"/>
      <c r="G328" s="87"/>
      <c r="K328" s="90"/>
      <c r="L328" s="90"/>
    </row>
    <row r="329" spans="5:12" ht="15.75" customHeight="1">
      <c r="E329" s="86"/>
      <c r="F329" s="86"/>
      <c r="G329" s="87"/>
      <c r="K329" s="90"/>
      <c r="L329" s="90"/>
    </row>
    <row r="330" spans="5:12" ht="15.75" customHeight="1">
      <c r="E330" s="86"/>
      <c r="F330" s="86"/>
      <c r="G330" s="87"/>
      <c r="K330" s="90"/>
      <c r="L330" s="90"/>
    </row>
    <row r="331" spans="5:12" ht="15.75" customHeight="1">
      <c r="E331" s="86"/>
      <c r="F331" s="86"/>
      <c r="G331" s="87"/>
      <c r="K331" s="90"/>
      <c r="L331" s="90"/>
    </row>
    <row r="332" spans="5:12" ht="15.75" customHeight="1">
      <c r="E332" s="86"/>
      <c r="F332" s="86"/>
      <c r="G332" s="87"/>
      <c r="K332" s="90"/>
      <c r="L332" s="90"/>
    </row>
    <row r="333" spans="5:12" ht="15.75" customHeight="1">
      <c r="E333" s="86"/>
      <c r="F333" s="86"/>
      <c r="G333" s="87"/>
      <c r="K333" s="90"/>
      <c r="L333" s="90"/>
    </row>
    <row r="334" spans="5:12" ht="15.75" customHeight="1">
      <c r="E334" s="86"/>
      <c r="F334" s="86"/>
      <c r="G334" s="87"/>
      <c r="K334" s="90"/>
      <c r="L334" s="90"/>
    </row>
    <row r="335" spans="5:12" ht="15.75" customHeight="1">
      <c r="E335" s="86"/>
      <c r="F335" s="86"/>
      <c r="G335" s="87"/>
      <c r="K335" s="90"/>
      <c r="L335" s="90"/>
    </row>
    <row r="336" spans="5:12" ht="15.75" customHeight="1">
      <c r="E336" s="86"/>
      <c r="F336" s="86"/>
      <c r="G336" s="87"/>
      <c r="K336" s="90"/>
      <c r="L336" s="90"/>
    </row>
    <row r="337" spans="5:12" ht="15.75" customHeight="1">
      <c r="E337" s="86"/>
      <c r="F337" s="86"/>
      <c r="G337" s="87"/>
      <c r="K337" s="90"/>
      <c r="L337" s="90"/>
    </row>
    <row r="338" spans="5:12" ht="15.75" customHeight="1">
      <c r="E338" s="86"/>
      <c r="F338" s="86"/>
      <c r="G338" s="87"/>
      <c r="K338" s="90"/>
      <c r="L338" s="90"/>
    </row>
    <row r="339" spans="5:12" ht="15.75" customHeight="1">
      <c r="E339" s="86"/>
      <c r="F339" s="86"/>
      <c r="G339" s="87"/>
      <c r="K339" s="90"/>
      <c r="L339" s="90"/>
    </row>
    <row r="340" spans="5:12" ht="15.75" customHeight="1">
      <c r="E340" s="86"/>
      <c r="F340" s="86"/>
      <c r="G340" s="87"/>
      <c r="K340" s="90"/>
      <c r="L340" s="90"/>
    </row>
    <row r="341" spans="5:12" ht="15.75" customHeight="1">
      <c r="E341" s="86"/>
      <c r="F341" s="86"/>
      <c r="G341" s="87"/>
      <c r="K341" s="90"/>
      <c r="L341" s="90"/>
    </row>
    <row r="342" spans="5:12" ht="15.75" customHeight="1">
      <c r="E342" s="86"/>
      <c r="F342" s="86"/>
      <c r="G342" s="87"/>
      <c r="K342" s="90"/>
      <c r="L342" s="90"/>
    </row>
    <row r="343" spans="5:12" ht="15.75" customHeight="1">
      <c r="E343" s="86"/>
      <c r="F343" s="86"/>
      <c r="G343" s="87"/>
      <c r="K343" s="90"/>
      <c r="L343" s="90"/>
    </row>
    <row r="344" spans="5:12" ht="15.75" customHeight="1">
      <c r="E344" s="86"/>
      <c r="F344" s="86"/>
      <c r="G344" s="87"/>
      <c r="K344" s="90"/>
      <c r="L344" s="90"/>
    </row>
    <row r="345" spans="5:12" ht="15.75" customHeight="1">
      <c r="E345" s="86"/>
      <c r="F345" s="86"/>
      <c r="G345" s="87"/>
      <c r="K345" s="90"/>
      <c r="L345" s="90"/>
    </row>
    <row r="346" spans="5:12" ht="15.75" customHeight="1">
      <c r="E346" s="86"/>
      <c r="F346" s="86"/>
      <c r="G346" s="87"/>
      <c r="K346" s="90"/>
      <c r="L346" s="90"/>
    </row>
    <row r="347" spans="5:12" ht="15.75" customHeight="1">
      <c r="E347" s="86"/>
      <c r="F347" s="86"/>
      <c r="G347" s="87"/>
      <c r="K347" s="90"/>
      <c r="L347" s="90"/>
    </row>
    <row r="348" spans="5:12" ht="15.75" customHeight="1">
      <c r="E348" s="86"/>
      <c r="F348" s="86"/>
      <c r="G348" s="87"/>
      <c r="K348" s="90"/>
      <c r="L348" s="90"/>
    </row>
    <row r="349" spans="5:12" ht="15.75" customHeight="1">
      <c r="E349" s="86"/>
      <c r="F349" s="86"/>
      <c r="G349" s="87"/>
      <c r="K349" s="90"/>
      <c r="L349" s="90"/>
    </row>
    <row r="350" spans="5:12" ht="15.75" customHeight="1">
      <c r="E350" s="86"/>
      <c r="F350" s="86"/>
      <c r="G350" s="87"/>
      <c r="K350" s="90"/>
      <c r="L350" s="90"/>
    </row>
    <row r="351" spans="5:12" ht="15.75" customHeight="1">
      <c r="E351" s="86"/>
      <c r="F351" s="86"/>
      <c r="G351" s="87"/>
      <c r="K351" s="90"/>
      <c r="L351" s="90"/>
    </row>
    <row r="352" spans="5:12" ht="15.75" customHeight="1">
      <c r="E352" s="86"/>
      <c r="F352" s="86"/>
      <c r="G352" s="87"/>
      <c r="K352" s="90"/>
      <c r="L352" s="90"/>
    </row>
    <row r="353" spans="5:12" ht="15.75" customHeight="1">
      <c r="E353" s="86"/>
      <c r="F353" s="86"/>
      <c r="G353" s="87"/>
      <c r="K353" s="90"/>
      <c r="L353" s="90"/>
    </row>
    <row r="354" spans="5:12" ht="15.75" customHeight="1">
      <c r="E354" s="86"/>
      <c r="F354" s="86"/>
      <c r="G354" s="87"/>
      <c r="K354" s="90"/>
      <c r="L354" s="90"/>
    </row>
    <row r="355" spans="5:12" ht="15.75" customHeight="1">
      <c r="E355" s="86"/>
      <c r="F355" s="86"/>
      <c r="G355" s="87"/>
      <c r="K355" s="90"/>
      <c r="L355" s="90"/>
    </row>
    <row r="356" spans="5:12" ht="15.75" customHeight="1">
      <c r="E356" s="86"/>
      <c r="F356" s="86"/>
      <c r="G356" s="87"/>
      <c r="K356" s="90"/>
      <c r="L356" s="90"/>
    </row>
    <row r="357" spans="5:12" ht="15.75" customHeight="1">
      <c r="E357" s="86"/>
      <c r="F357" s="86"/>
      <c r="G357" s="87"/>
      <c r="K357" s="90"/>
      <c r="L357" s="90"/>
    </row>
    <row r="358" spans="5:12" ht="15.75" customHeight="1">
      <c r="E358" s="86"/>
      <c r="F358" s="86"/>
      <c r="G358" s="87"/>
      <c r="K358" s="90"/>
      <c r="L358" s="90"/>
    </row>
    <row r="359" spans="5:12" ht="15.75" customHeight="1">
      <c r="E359" s="86"/>
      <c r="F359" s="86"/>
      <c r="G359" s="87"/>
      <c r="K359" s="90"/>
      <c r="L359" s="90"/>
    </row>
    <row r="360" spans="5:12" ht="15.75" customHeight="1">
      <c r="E360" s="86"/>
      <c r="F360" s="86"/>
      <c r="G360" s="87"/>
      <c r="K360" s="90"/>
      <c r="L360" s="90"/>
    </row>
    <row r="361" spans="5:12" ht="15.75" customHeight="1">
      <c r="E361" s="86"/>
      <c r="F361" s="86"/>
      <c r="G361" s="87"/>
      <c r="K361" s="90"/>
      <c r="L361" s="90"/>
    </row>
    <row r="362" spans="5:12" ht="15.75" customHeight="1">
      <c r="E362" s="86"/>
      <c r="F362" s="86"/>
      <c r="G362" s="87"/>
      <c r="K362" s="90"/>
      <c r="L362" s="90"/>
    </row>
    <row r="363" spans="5:12" ht="15.75" customHeight="1">
      <c r="E363" s="86"/>
      <c r="F363" s="86"/>
      <c r="G363" s="87"/>
      <c r="K363" s="90"/>
      <c r="L363" s="90"/>
    </row>
    <row r="364" spans="5:12" ht="15.75" customHeight="1">
      <c r="E364" s="86"/>
      <c r="F364" s="86"/>
      <c r="G364" s="87"/>
      <c r="K364" s="90"/>
      <c r="L364" s="90"/>
    </row>
    <row r="365" spans="5:12" ht="15.75" customHeight="1">
      <c r="E365" s="86"/>
      <c r="F365" s="86"/>
      <c r="G365" s="87"/>
      <c r="K365" s="90"/>
      <c r="L365" s="90"/>
    </row>
    <row r="366" spans="5:12" ht="15.75" customHeight="1">
      <c r="E366" s="86"/>
      <c r="F366" s="86"/>
      <c r="G366" s="87"/>
      <c r="K366" s="90"/>
      <c r="L366" s="90"/>
    </row>
    <row r="367" spans="5:12" ht="15.75" customHeight="1">
      <c r="E367" s="86"/>
      <c r="F367" s="86"/>
      <c r="G367" s="87"/>
      <c r="K367" s="90"/>
      <c r="L367" s="90"/>
    </row>
    <row r="368" spans="5:12" ht="15.75" customHeight="1">
      <c r="E368" s="86"/>
      <c r="F368" s="86"/>
      <c r="G368" s="87"/>
      <c r="K368" s="90"/>
      <c r="L368" s="90"/>
    </row>
    <row r="369" spans="5:12" ht="15.75" customHeight="1">
      <c r="E369" s="86"/>
      <c r="F369" s="86"/>
      <c r="G369" s="87"/>
      <c r="K369" s="90"/>
      <c r="L369" s="90"/>
    </row>
    <row r="370" spans="5:12" ht="15.75" customHeight="1">
      <c r="E370" s="86"/>
      <c r="F370" s="86"/>
      <c r="G370" s="87"/>
      <c r="K370" s="90"/>
      <c r="L370" s="90"/>
    </row>
    <row r="371" spans="5:12" ht="15.75" customHeight="1">
      <c r="E371" s="86"/>
      <c r="F371" s="86"/>
      <c r="G371" s="87"/>
      <c r="K371" s="90"/>
      <c r="L371" s="90"/>
    </row>
    <row r="372" spans="5:12" ht="15.75" customHeight="1">
      <c r="E372" s="86"/>
      <c r="F372" s="86"/>
      <c r="G372" s="87"/>
      <c r="K372" s="90"/>
      <c r="L372" s="90"/>
    </row>
    <row r="373" spans="5:12" ht="15.75" customHeight="1">
      <c r="E373" s="86"/>
      <c r="F373" s="86"/>
      <c r="G373" s="87"/>
      <c r="K373" s="90"/>
      <c r="L373" s="90"/>
    </row>
    <row r="374" spans="5:12" ht="15.75" customHeight="1">
      <c r="E374" s="86"/>
      <c r="F374" s="86"/>
      <c r="G374" s="87"/>
      <c r="K374" s="90"/>
      <c r="L374" s="90"/>
    </row>
    <row r="375" spans="5:12" ht="15.75" customHeight="1">
      <c r="E375" s="86"/>
      <c r="F375" s="86"/>
      <c r="G375" s="87"/>
      <c r="K375" s="90"/>
      <c r="L375" s="90"/>
    </row>
    <row r="376" spans="5:12" ht="15.75" customHeight="1">
      <c r="E376" s="86"/>
      <c r="F376" s="86"/>
      <c r="G376" s="87"/>
      <c r="K376" s="90"/>
      <c r="L376" s="90"/>
    </row>
    <row r="377" spans="5:12" ht="15.75" customHeight="1">
      <c r="E377" s="86"/>
      <c r="F377" s="86"/>
      <c r="G377" s="87"/>
      <c r="K377" s="90"/>
      <c r="L377" s="90"/>
    </row>
    <row r="378" spans="5:12" ht="15.75" customHeight="1">
      <c r="E378" s="86"/>
      <c r="F378" s="86"/>
      <c r="G378" s="87"/>
      <c r="K378" s="90"/>
      <c r="L378" s="90"/>
    </row>
    <row r="379" spans="5:12" ht="15.75" customHeight="1">
      <c r="E379" s="86"/>
      <c r="F379" s="86"/>
      <c r="G379" s="87"/>
      <c r="K379" s="90"/>
      <c r="L379" s="90"/>
    </row>
    <row r="380" spans="5:12" ht="15.75" customHeight="1">
      <c r="E380" s="86"/>
      <c r="F380" s="86"/>
      <c r="G380" s="87"/>
      <c r="K380" s="90"/>
      <c r="L380" s="90"/>
    </row>
    <row r="381" spans="5:12" ht="15.75" customHeight="1">
      <c r="E381" s="86"/>
      <c r="F381" s="86"/>
      <c r="G381" s="87"/>
      <c r="K381" s="90"/>
      <c r="L381" s="90"/>
    </row>
    <row r="382" spans="5:12" ht="15.75" customHeight="1">
      <c r="E382" s="86"/>
      <c r="F382" s="86"/>
      <c r="G382" s="87"/>
      <c r="K382" s="90"/>
      <c r="L382" s="90"/>
    </row>
    <row r="383" spans="5:12" ht="15.75" customHeight="1">
      <c r="E383" s="86"/>
      <c r="F383" s="86"/>
      <c r="G383" s="87"/>
      <c r="K383" s="90"/>
      <c r="L383" s="90"/>
    </row>
    <row r="384" spans="5:12" ht="15.75" customHeight="1">
      <c r="E384" s="86"/>
      <c r="F384" s="86"/>
      <c r="G384" s="87"/>
      <c r="K384" s="90"/>
      <c r="L384" s="90"/>
    </row>
    <row r="385" spans="5:12" ht="15.75" customHeight="1">
      <c r="E385" s="86"/>
      <c r="F385" s="86"/>
      <c r="G385" s="87"/>
      <c r="K385" s="90"/>
      <c r="L385" s="90"/>
    </row>
    <row r="386" spans="5:12" ht="15.75" customHeight="1">
      <c r="E386" s="86"/>
      <c r="F386" s="86"/>
      <c r="G386" s="87"/>
      <c r="K386" s="90"/>
      <c r="L386" s="90"/>
    </row>
    <row r="387" spans="5:12" ht="15.75" customHeight="1">
      <c r="E387" s="86"/>
      <c r="F387" s="86"/>
      <c r="G387" s="87"/>
      <c r="K387" s="90"/>
      <c r="L387" s="90"/>
    </row>
    <row r="388" spans="5:12" ht="15.75" customHeight="1">
      <c r="E388" s="86"/>
      <c r="F388" s="86"/>
      <c r="G388" s="87"/>
      <c r="K388" s="90"/>
      <c r="L388" s="90"/>
    </row>
    <row r="389" spans="5:12" ht="15.75" customHeight="1">
      <c r="E389" s="86"/>
      <c r="F389" s="86"/>
      <c r="G389" s="87"/>
      <c r="K389" s="90"/>
      <c r="L389" s="90"/>
    </row>
    <row r="390" spans="5:12" ht="15.75" customHeight="1">
      <c r="E390" s="86"/>
      <c r="F390" s="86"/>
      <c r="G390" s="87"/>
      <c r="K390" s="90"/>
      <c r="L390" s="90"/>
    </row>
    <row r="391" spans="5:12" ht="15.75" customHeight="1">
      <c r="E391" s="86"/>
      <c r="F391" s="86"/>
      <c r="G391" s="87"/>
      <c r="K391" s="90"/>
      <c r="L391" s="90"/>
    </row>
    <row r="392" spans="5:12" ht="15.75" customHeight="1">
      <c r="E392" s="86"/>
      <c r="F392" s="86"/>
      <c r="G392" s="87"/>
      <c r="K392" s="90"/>
      <c r="L392" s="90"/>
    </row>
    <row r="393" spans="5:12" ht="15.75" customHeight="1">
      <c r="E393" s="86"/>
      <c r="F393" s="86"/>
      <c r="G393" s="87"/>
      <c r="K393" s="90"/>
      <c r="L393" s="90"/>
    </row>
    <row r="394" spans="5:12" ht="15.75" customHeight="1">
      <c r="E394" s="86"/>
      <c r="F394" s="86"/>
      <c r="G394" s="87"/>
      <c r="K394" s="90"/>
      <c r="L394" s="90"/>
    </row>
    <row r="395" spans="5:12" ht="15.75" customHeight="1">
      <c r="E395" s="86"/>
      <c r="F395" s="86"/>
      <c r="G395" s="87"/>
      <c r="K395" s="90"/>
      <c r="L395" s="90"/>
    </row>
    <row r="396" spans="5:12" ht="15.75" customHeight="1">
      <c r="E396" s="86"/>
      <c r="F396" s="86"/>
      <c r="G396" s="87"/>
      <c r="K396" s="90"/>
      <c r="L396" s="90"/>
    </row>
    <row r="397" spans="5:12" ht="15.75" customHeight="1">
      <c r="E397" s="86"/>
      <c r="F397" s="86"/>
      <c r="G397" s="87"/>
      <c r="K397" s="90"/>
      <c r="L397" s="90"/>
    </row>
    <row r="398" spans="5:12" ht="15.75" customHeight="1">
      <c r="E398" s="86"/>
      <c r="F398" s="86"/>
      <c r="G398" s="87"/>
      <c r="K398" s="90"/>
      <c r="L398" s="90"/>
    </row>
    <row r="399" spans="5:12" ht="15.75" customHeight="1">
      <c r="E399" s="86"/>
      <c r="F399" s="86"/>
      <c r="G399" s="87"/>
      <c r="K399" s="90"/>
      <c r="L399" s="90"/>
    </row>
    <row r="400" spans="5:12" ht="15.75" customHeight="1">
      <c r="E400" s="86"/>
      <c r="F400" s="86"/>
      <c r="G400" s="87"/>
      <c r="K400" s="90"/>
      <c r="L400" s="90"/>
    </row>
    <row r="401" spans="5:12" ht="15.75" customHeight="1">
      <c r="E401" s="86"/>
      <c r="F401" s="86"/>
      <c r="G401" s="87"/>
      <c r="K401" s="90"/>
      <c r="L401" s="90"/>
    </row>
    <row r="402" spans="5:12" ht="15.75" customHeight="1">
      <c r="E402" s="86"/>
      <c r="F402" s="86"/>
      <c r="G402" s="87"/>
      <c r="K402" s="90"/>
      <c r="L402" s="90"/>
    </row>
    <row r="403" spans="5:12" ht="15.75" customHeight="1">
      <c r="E403" s="86"/>
      <c r="F403" s="86"/>
      <c r="G403" s="87"/>
      <c r="K403" s="90"/>
      <c r="L403" s="90"/>
    </row>
    <row r="404" spans="5:12" ht="15.75" customHeight="1">
      <c r="E404" s="86"/>
      <c r="F404" s="86"/>
      <c r="G404" s="87"/>
      <c r="K404" s="90"/>
      <c r="L404" s="90"/>
    </row>
    <row r="405" spans="5:12" ht="15.75" customHeight="1">
      <c r="E405" s="86"/>
      <c r="F405" s="86"/>
      <c r="G405" s="87"/>
      <c r="K405" s="90"/>
      <c r="L405" s="90"/>
    </row>
    <row r="406" spans="5:12" ht="15.75" customHeight="1">
      <c r="E406" s="86"/>
      <c r="F406" s="86"/>
      <c r="G406" s="87"/>
      <c r="K406" s="90"/>
      <c r="L406" s="90"/>
    </row>
    <row r="407" spans="5:12" ht="15.75" customHeight="1">
      <c r="E407" s="86"/>
      <c r="F407" s="86"/>
      <c r="G407" s="87"/>
      <c r="K407" s="90"/>
      <c r="L407" s="90"/>
    </row>
    <row r="408" spans="5:12" ht="15.75" customHeight="1">
      <c r="E408" s="86"/>
      <c r="F408" s="86"/>
      <c r="G408" s="87"/>
      <c r="K408" s="90"/>
      <c r="L408" s="90"/>
    </row>
    <row r="409" spans="5:12" ht="15.75" customHeight="1">
      <c r="E409" s="86"/>
      <c r="F409" s="86"/>
      <c r="G409" s="87"/>
      <c r="K409" s="90"/>
      <c r="L409" s="90"/>
    </row>
    <row r="410" spans="5:12" ht="15.75" customHeight="1">
      <c r="E410" s="86"/>
      <c r="F410" s="86"/>
      <c r="G410" s="87"/>
      <c r="K410" s="90"/>
      <c r="L410" s="90"/>
    </row>
    <row r="411" spans="5:12" ht="15.75" customHeight="1">
      <c r="E411" s="86"/>
      <c r="F411" s="86"/>
      <c r="G411" s="87"/>
      <c r="K411" s="90"/>
      <c r="L411" s="90"/>
    </row>
    <row r="412" spans="5:12" ht="15.75" customHeight="1">
      <c r="E412" s="86"/>
      <c r="F412" s="86"/>
      <c r="G412" s="87"/>
      <c r="K412" s="90"/>
      <c r="L412" s="90"/>
    </row>
    <row r="413" spans="5:12" ht="15.75" customHeight="1">
      <c r="E413" s="86"/>
      <c r="F413" s="86"/>
      <c r="G413" s="87"/>
      <c r="K413" s="90"/>
      <c r="L413" s="90"/>
    </row>
    <row r="414" spans="5:12" ht="15.75" customHeight="1">
      <c r="E414" s="86"/>
      <c r="F414" s="86"/>
      <c r="G414" s="87"/>
      <c r="K414" s="90"/>
      <c r="L414" s="90"/>
    </row>
    <row r="415" spans="5:12" ht="15.75" customHeight="1">
      <c r="E415" s="86"/>
      <c r="F415" s="86"/>
      <c r="G415" s="87"/>
      <c r="K415" s="90"/>
      <c r="L415" s="90"/>
    </row>
    <row r="416" spans="5:12" ht="15.75" customHeight="1">
      <c r="E416" s="86"/>
      <c r="F416" s="86"/>
      <c r="G416" s="87"/>
      <c r="K416" s="90"/>
      <c r="L416" s="90"/>
    </row>
    <row r="417" spans="5:12" ht="15.75" customHeight="1">
      <c r="E417" s="86"/>
      <c r="F417" s="86"/>
      <c r="G417" s="87"/>
      <c r="K417" s="90"/>
      <c r="L417" s="90"/>
    </row>
    <row r="418" spans="5:12" ht="15.75" customHeight="1">
      <c r="E418" s="86"/>
      <c r="F418" s="86"/>
      <c r="G418" s="87"/>
      <c r="K418" s="90"/>
      <c r="L418" s="90"/>
    </row>
    <row r="419" spans="5:12" ht="15.75" customHeight="1">
      <c r="E419" s="86"/>
      <c r="F419" s="86"/>
      <c r="G419" s="87"/>
      <c r="K419" s="90"/>
      <c r="L419" s="90"/>
    </row>
    <row r="420" spans="5:12" ht="15.75" customHeight="1">
      <c r="E420" s="86"/>
      <c r="F420" s="86"/>
      <c r="G420" s="87"/>
      <c r="K420" s="90"/>
      <c r="L420" s="90"/>
    </row>
    <row r="421" spans="5:12" ht="15.75" customHeight="1">
      <c r="E421" s="86"/>
      <c r="F421" s="86"/>
      <c r="G421" s="87"/>
      <c r="K421" s="90"/>
      <c r="L421" s="90"/>
    </row>
    <row r="422" spans="5:12" ht="15.75" customHeight="1">
      <c r="E422" s="86"/>
      <c r="F422" s="86"/>
      <c r="G422" s="87"/>
      <c r="K422" s="90"/>
      <c r="L422" s="90"/>
    </row>
    <row r="423" spans="5:12" ht="15.75" customHeight="1">
      <c r="E423" s="86"/>
      <c r="F423" s="86"/>
      <c r="G423" s="87"/>
      <c r="K423" s="90"/>
      <c r="L423" s="90"/>
    </row>
    <row r="424" spans="5:12" ht="15.75" customHeight="1">
      <c r="E424" s="86"/>
      <c r="F424" s="86"/>
      <c r="G424" s="87"/>
      <c r="K424" s="90"/>
      <c r="L424" s="90"/>
    </row>
    <row r="425" spans="5:12" ht="15.75" customHeight="1">
      <c r="E425" s="86"/>
      <c r="F425" s="86"/>
      <c r="G425" s="87"/>
      <c r="K425" s="90"/>
      <c r="L425" s="90"/>
    </row>
    <row r="426" spans="5:12" ht="15.75" customHeight="1">
      <c r="E426" s="86"/>
      <c r="F426" s="86"/>
      <c r="G426" s="87"/>
      <c r="K426" s="90"/>
      <c r="L426" s="90"/>
    </row>
    <row r="427" spans="5:12" ht="15.75" customHeight="1">
      <c r="E427" s="86"/>
      <c r="F427" s="86"/>
      <c r="G427" s="87"/>
      <c r="K427" s="90"/>
      <c r="L427" s="90"/>
    </row>
    <row r="428" spans="5:12" ht="15.75" customHeight="1">
      <c r="E428" s="86"/>
      <c r="F428" s="86"/>
      <c r="G428" s="87"/>
      <c r="K428" s="90"/>
      <c r="L428" s="90"/>
    </row>
    <row r="429" spans="5:12" ht="15.75" customHeight="1">
      <c r="E429" s="86"/>
      <c r="F429" s="86"/>
      <c r="G429" s="87"/>
      <c r="K429" s="90"/>
      <c r="L429" s="90"/>
    </row>
    <row r="430" spans="5:12" ht="15.75" customHeight="1">
      <c r="E430" s="86"/>
      <c r="F430" s="86"/>
      <c r="G430" s="87"/>
      <c r="K430" s="90"/>
      <c r="L430" s="90"/>
    </row>
    <row r="431" spans="5:12" ht="15.75" customHeight="1">
      <c r="E431" s="86"/>
      <c r="F431" s="86"/>
      <c r="G431" s="87"/>
      <c r="K431" s="90"/>
      <c r="L431" s="90"/>
    </row>
    <row r="432" spans="5:12" ht="15.75" customHeight="1">
      <c r="E432" s="86"/>
      <c r="F432" s="86"/>
      <c r="G432" s="87"/>
      <c r="K432" s="90"/>
      <c r="L432" s="90"/>
    </row>
    <row r="433" spans="5:12" ht="15.75" customHeight="1">
      <c r="E433" s="86"/>
      <c r="F433" s="86"/>
      <c r="G433" s="87"/>
      <c r="K433" s="90"/>
      <c r="L433" s="90"/>
    </row>
    <row r="434" spans="5:12" ht="15.75" customHeight="1">
      <c r="E434" s="86"/>
      <c r="F434" s="86"/>
      <c r="G434" s="87"/>
      <c r="K434" s="90"/>
      <c r="L434" s="90"/>
    </row>
    <row r="435" spans="5:12" ht="15.75" customHeight="1">
      <c r="E435" s="86"/>
      <c r="F435" s="86"/>
      <c r="G435" s="87"/>
      <c r="K435" s="90"/>
      <c r="L435" s="90"/>
    </row>
    <row r="436" spans="5:12" ht="15.75" customHeight="1">
      <c r="E436" s="86"/>
      <c r="F436" s="86"/>
      <c r="G436" s="87"/>
      <c r="K436" s="90"/>
      <c r="L436" s="90"/>
    </row>
    <row r="437" spans="5:12" ht="15.75" customHeight="1">
      <c r="E437" s="86"/>
      <c r="F437" s="86"/>
      <c r="G437" s="87"/>
      <c r="K437" s="90"/>
      <c r="L437" s="90"/>
    </row>
    <row r="438" spans="5:12" ht="15.75" customHeight="1">
      <c r="E438" s="86"/>
      <c r="F438" s="86"/>
      <c r="G438" s="87"/>
      <c r="K438" s="90"/>
      <c r="L438" s="90"/>
    </row>
    <row r="439" spans="5:12" ht="15.75" customHeight="1">
      <c r="E439" s="86"/>
      <c r="F439" s="86"/>
      <c r="G439" s="87"/>
      <c r="K439" s="90"/>
      <c r="L439" s="90"/>
    </row>
    <row r="440" spans="5:12" ht="15.75" customHeight="1">
      <c r="E440" s="86"/>
      <c r="F440" s="86"/>
      <c r="G440" s="87"/>
      <c r="K440" s="90"/>
      <c r="L440" s="90"/>
    </row>
    <row r="441" spans="5:12" ht="15.75" customHeight="1">
      <c r="E441" s="86"/>
      <c r="F441" s="86"/>
      <c r="G441" s="87"/>
      <c r="K441" s="90"/>
      <c r="L441" s="90"/>
    </row>
    <row r="442" spans="5:12" ht="15.75" customHeight="1">
      <c r="E442" s="86"/>
      <c r="F442" s="86"/>
      <c r="G442" s="87"/>
      <c r="K442" s="90"/>
      <c r="L442" s="90"/>
    </row>
    <row r="443" spans="5:12" ht="15.75" customHeight="1">
      <c r="E443" s="86"/>
      <c r="F443" s="86"/>
      <c r="G443" s="87"/>
      <c r="K443" s="90"/>
      <c r="L443" s="90"/>
    </row>
    <row r="444" spans="5:12" ht="15.75" customHeight="1">
      <c r="E444" s="86"/>
      <c r="F444" s="86"/>
      <c r="G444" s="87"/>
      <c r="K444" s="90"/>
      <c r="L444" s="90"/>
    </row>
    <row r="445" spans="5:12" ht="15.75" customHeight="1">
      <c r="E445" s="86"/>
      <c r="F445" s="86"/>
      <c r="G445" s="87"/>
      <c r="K445" s="90"/>
      <c r="L445" s="90"/>
    </row>
    <row r="446" spans="5:12" ht="15.75" customHeight="1">
      <c r="E446" s="86"/>
      <c r="F446" s="86"/>
      <c r="G446" s="87"/>
      <c r="K446" s="90"/>
      <c r="L446" s="90"/>
    </row>
    <row r="447" spans="5:12" ht="15.75" customHeight="1">
      <c r="E447" s="86"/>
      <c r="F447" s="86"/>
      <c r="G447" s="87"/>
      <c r="K447" s="90"/>
      <c r="L447" s="90"/>
    </row>
    <row r="448" spans="5:12" ht="15.75" customHeight="1">
      <c r="E448" s="86"/>
      <c r="F448" s="86"/>
      <c r="G448" s="87"/>
      <c r="K448" s="90"/>
      <c r="L448" s="90"/>
    </row>
    <row r="449" spans="5:12" ht="15.75" customHeight="1">
      <c r="E449" s="86"/>
      <c r="F449" s="86"/>
      <c r="G449" s="87"/>
      <c r="K449" s="90"/>
      <c r="L449" s="90"/>
    </row>
    <row r="450" spans="5:12" ht="15.75" customHeight="1">
      <c r="E450" s="86"/>
      <c r="F450" s="86"/>
      <c r="G450" s="87"/>
      <c r="K450" s="90"/>
      <c r="L450" s="90"/>
    </row>
    <row r="451" spans="5:12" ht="15.75" customHeight="1">
      <c r="E451" s="86"/>
      <c r="F451" s="86"/>
      <c r="G451" s="87"/>
      <c r="K451" s="90"/>
      <c r="L451" s="90"/>
    </row>
    <row r="452" spans="5:12" ht="15.75" customHeight="1">
      <c r="E452" s="86"/>
      <c r="F452" s="86"/>
      <c r="G452" s="87"/>
      <c r="K452" s="90"/>
      <c r="L452" s="90"/>
    </row>
    <row r="453" spans="5:12" ht="15.75" customHeight="1">
      <c r="E453" s="86"/>
      <c r="F453" s="86"/>
      <c r="G453" s="87"/>
      <c r="K453" s="90"/>
      <c r="L453" s="90"/>
    </row>
    <row r="454" spans="5:12" ht="15.75" customHeight="1">
      <c r="E454" s="86"/>
      <c r="F454" s="86"/>
      <c r="G454" s="87"/>
      <c r="K454" s="90"/>
      <c r="L454" s="90"/>
    </row>
    <row r="455" spans="5:12" ht="15.75" customHeight="1">
      <c r="E455" s="86"/>
      <c r="F455" s="86"/>
      <c r="G455" s="87"/>
      <c r="K455" s="90"/>
      <c r="L455" s="90"/>
    </row>
    <row r="456" spans="5:12" ht="15.75" customHeight="1">
      <c r="E456" s="86"/>
      <c r="F456" s="86"/>
      <c r="G456" s="87"/>
      <c r="K456" s="90"/>
      <c r="L456" s="90"/>
    </row>
    <row r="457" spans="5:12" ht="15.75" customHeight="1">
      <c r="E457" s="86"/>
      <c r="F457" s="86"/>
      <c r="G457" s="87"/>
      <c r="K457" s="90"/>
      <c r="L457" s="90"/>
    </row>
    <row r="458" spans="5:12" ht="15.75" customHeight="1">
      <c r="E458" s="86"/>
      <c r="F458" s="86"/>
      <c r="G458" s="87"/>
      <c r="K458" s="90"/>
      <c r="L458" s="90"/>
    </row>
    <row r="459" spans="5:12" ht="15.75" customHeight="1">
      <c r="E459" s="86"/>
      <c r="F459" s="86"/>
      <c r="G459" s="87"/>
      <c r="K459" s="90"/>
      <c r="L459" s="90"/>
    </row>
    <row r="460" spans="5:12" ht="15.75" customHeight="1">
      <c r="E460" s="86"/>
      <c r="F460" s="86"/>
      <c r="G460" s="87"/>
      <c r="K460" s="90"/>
      <c r="L460" s="90"/>
    </row>
    <row r="461" spans="5:12" ht="15.75" customHeight="1">
      <c r="E461" s="86"/>
      <c r="F461" s="86"/>
      <c r="G461" s="87"/>
      <c r="K461" s="90"/>
      <c r="L461" s="90"/>
    </row>
    <row r="462" spans="5:12" ht="15.75" customHeight="1">
      <c r="E462" s="86"/>
      <c r="F462" s="86"/>
      <c r="G462" s="87"/>
      <c r="K462" s="90"/>
      <c r="L462" s="90"/>
    </row>
    <row r="463" spans="5:12" ht="15.75" customHeight="1">
      <c r="E463" s="86"/>
      <c r="F463" s="86"/>
      <c r="G463" s="87"/>
      <c r="K463" s="90"/>
      <c r="L463" s="90"/>
    </row>
    <row r="464" spans="5:12" ht="15.75" customHeight="1">
      <c r="E464" s="86"/>
      <c r="F464" s="86"/>
      <c r="G464" s="87"/>
      <c r="K464" s="90"/>
      <c r="L464" s="90"/>
    </row>
    <row r="465" spans="5:12" ht="15.75" customHeight="1">
      <c r="E465" s="86"/>
      <c r="F465" s="86"/>
      <c r="G465" s="87"/>
      <c r="K465" s="90"/>
      <c r="L465" s="90"/>
    </row>
    <row r="466" spans="5:12" ht="15.75" customHeight="1">
      <c r="E466" s="86"/>
      <c r="F466" s="86"/>
      <c r="G466" s="87"/>
      <c r="K466" s="90"/>
      <c r="L466" s="90"/>
    </row>
    <row r="467" spans="5:12" ht="15.75" customHeight="1">
      <c r="E467" s="86"/>
      <c r="F467" s="86"/>
      <c r="G467" s="87"/>
      <c r="K467" s="90"/>
      <c r="L467" s="90"/>
    </row>
    <row r="468" spans="5:12" ht="15.75" customHeight="1">
      <c r="E468" s="86"/>
      <c r="F468" s="86"/>
      <c r="G468" s="87"/>
      <c r="K468" s="90"/>
      <c r="L468" s="90"/>
    </row>
    <row r="469" spans="5:12" ht="15.75" customHeight="1">
      <c r="E469" s="86"/>
      <c r="F469" s="86"/>
      <c r="G469" s="87"/>
      <c r="K469" s="90"/>
      <c r="L469" s="90"/>
    </row>
    <row r="470" spans="5:12" ht="15.75" customHeight="1">
      <c r="E470" s="86"/>
      <c r="F470" s="86"/>
      <c r="G470" s="87"/>
      <c r="K470" s="90"/>
      <c r="L470" s="90"/>
    </row>
    <row r="471" spans="5:12" ht="15.75" customHeight="1">
      <c r="E471" s="86"/>
      <c r="F471" s="86"/>
      <c r="G471" s="87"/>
      <c r="K471" s="90"/>
      <c r="L471" s="90"/>
    </row>
    <row r="472" spans="5:12" ht="15.75" customHeight="1">
      <c r="E472" s="86"/>
      <c r="F472" s="86"/>
      <c r="G472" s="87"/>
      <c r="K472" s="90"/>
      <c r="L472" s="90"/>
    </row>
    <row r="473" spans="5:12" ht="15.75" customHeight="1">
      <c r="E473" s="86"/>
      <c r="F473" s="86"/>
      <c r="G473" s="87"/>
      <c r="K473" s="90"/>
      <c r="L473" s="90"/>
    </row>
    <row r="474" spans="5:12" ht="15.75" customHeight="1">
      <c r="E474" s="86"/>
      <c r="F474" s="86"/>
      <c r="G474" s="87"/>
      <c r="K474" s="90"/>
      <c r="L474" s="90"/>
    </row>
    <row r="475" spans="5:12" ht="15.75" customHeight="1">
      <c r="E475" s="86"/>
      <c r="F475" s="86"/>
      <c r="G475" s="87"/>
      <c r="K475" s="90"/>
      <c r="L475" s="90"/>
    </row>
    <row r="476" spans="5:12" ht="15.75" customHeight="1">
      <c r="E476" s="86"/>
      <c r="F476" s="86"/>
      <c r="G476" s="87"/>
      <c r="K476" s="90"/>
      <c r="L476" s="90"/>
    </row>
    <row r="477" spans="5:12" ht="15.75" customHeight="1">
      <c r="E477" s="86"/>
      <c r="F477" s="86"/>
      <c r="G477" s="87"/>
      <c r="K477" s="90"/>
      <c r="L477" s="90"/>
    </row>
    <row r="478" spans="5:12" ht="15.75" customHeight="1">
      <c r="E478" s="86"/>
      <c r="F478" s="86"/>
      <c r="G478" s="87"/>
      <c r="K478" s="90"/>
      <c r="L478" s="90"/>
    </row>
    <row r="479" spans="5:12" ht="15.75" customHeight="1">
      <c r="E479" s="86"/>
      <c r="F479" s="86"/>
      <c r="G479" s="87"/>
      <c r="K479" s="90"/>
      <c r="L479" s="90"/>
    </row>
    <row r="480" spans="5:12" ht="15.75" customHeight="1">
      <c r="E480" s="86"/>
      <c r="F480" s="86"/>
      <c r="G480" s="87"/>
      <c r="K480" s="90"/>
      <c r="L480" s="90"/>
    </row>
    <row r="481" spans="5:12" ht="15.75" customHeight="1">
      <c r="E481" s="86"/>
      <c r="F481" s="86"/>
      <c r="G481" s="87"/>
      <c r="K481" s="90"/>
      <c r="L481" s="90"/>
    </row>
    <row r="482" spans="5:12" ht="15.75" customHeight="1">
      <c r="E482" s="86"/>
      <c r="F482" s="86"/>
      <c r="G482" s="87"/>
      <c r="K482" s="90"/>
      <c r="L482" s="90"/>
    </row>
    <row r="483" spans="5:12" ht="15.75" customHeight="1">
      <c r="E483" s="86"/>
      <c r="F483" s="86"/>
      <c r="G483" s="87"/>
      <c r="K483" s="90"/>
      <c r="L483" s="90"/>
    </row>
    <row r="484" spans="5:12" ht="15.75" customHeight="1">
      <c r="E484" s="86"/>
      <c r="F484" s="86"/>
      <c r="G484" s="87"/>
      <c r="K484" s="90"/>
      <c r="L484" s="90"/>
    </row>
    <row r="485" spans="5:12" ht="15.75" customHeight="1">
      <c r="E485" s="86"/>
      <c r="F485" s="86"/>
      <c r="G485" s="87"/>
      <c r="K485" s="90"/>
      <c r="L485" s="90"/>
    </row>
    <row r="486" spans="5:12" ht="15.75" customHeight="1">
      <c r="E486" s="86"/>
      <c r="F486" s="86"/>
      <c r="G486" s="87"/>
      <c r="K486" s="90"/>
      <c r="L486" s="90"/>
    </row>
    <row r="487" spans="5:12" ht="15.75" customHeight="1">
      <c r="E487" s="86"/>
      <c r="F487" s="86"/>
      <c r="G487" s="87"/>
      <c r="K487" s="90"/>
      <c r="L487" s="90"/>
    </row>
    <row r="488" spans="5:12" ht="15.75" customHeight="1">
      <c r="E488" s="86"/>
      <c r="F488" s="86"/>
      <c r="G488" s="87"/>
      <c r="K488" s="90"/>
      <c r="L488" s="90"/>
    </row>
    <row r="489" spans="5:12" ht="15.75" customHeight="1">
      <c r="E489" s="86"/>
      <c r="F489" s="86"/>
      <c r="G489" s="87"/>
      <c r="K489" s="90"/>
      <c r="L489" s="90"/>
    </row>
    <row r="490" spans="5:12" ht="15.75" customHeight="1">
      <c r="E490" s="86"/>
      <c r="F490" s="86"/>
      <c r="G490" s="87"/>
      <c r="K490" s="90"/>
      <c r="L490" s="90"/>
    </row>
    <row r="491" spans="5:12" ht="15.75" customHeight="1">
      <c r="E491" s="86"/>
      <c r="F491" s="86"/>
      <c r="G491" s="87"/>
      <c r="K491" s="90"/>
      <c r="L491" s="90"/>
    </row>
    <row r="492" spans="5:12" ht="15.75" customHeight="1">
      <c r="E492" s="86"/>
      <c r="F492" s="86"/>
      <c r="G492" s="87"/>
      <c r="K492" s="90"/>
      <c r="L492" s="90"/>
    </row>
    <row r="493" spans="5:12" ht="15.75" customHeight="1">
      <c r="E493" s="86"/>
      <c r="F493" s="86"/>
      <c r="G493" s="87"/>
      <c r="K493" s="90"/>
      <c r="L493" s="90"/>
    </row>
    <row r="494" spans="5:12" ht="15.75" customHeight="1">
      <c r="E494" s="86"/>
      <c r="F494" s="86"/>
      <c r="G494" s="87"/>
      <c r="K494" s="90"/>
      <c r="L494" s="90"/>
    </row>
    <row r="495" spans="5:12" ht="15.75" customHeight="1">
      <c r="E495" s="86"/>
      <c r="F495" s="86"/>
      <c r="G495" s="87"/>
      <c r="K495" s="90"/>
      <c r="L495" s="90"/>
    </row>
    <row r="496" spans="5:12" ht="15.75" customHeight="1">
      <c r="E496" s="86"/>
      <c r="F496" s="86"/>
      <c r="G496" s="87"/>
      <c r="K496" s="90"/>
      <c r="L496" s="90"/>
    </row>
    <row r="497" spans="5:12" ht="15.75" customHeight="1">
      <c r="E497" s="86"/>
      <c r="F497" s="86"/>
      <c r="G497" s="87"/>
      <c r="K497" s="90"/>
      <c r="L497" s="90"/>
    </row>
    <row r="498" spans="5:12" ht="15.75" customHeight="1">
      <c r="E498" s="86"/>
      <c r="F498" s="86"/>
      <c r="G498" s="87"/>
      <c r="K498" s="90"/>
      <c r="L498" s="90"/>
    </row>
    <row r="499" spans="5:12" ht="15.75" customHeight="1">
      <c r="E499" s="86"/>
      <c r="F499" s="86"/>
      <c r="G499" s="87"/>
      <c r="K499" s="90"/>
      <c r="L499" s="90"/>
    </row>
    <row r="500" spans="5:12" ht="15.75" customHeight="1">
      <c r="E500" s="86"/>
      <c r="F500" s="86"/>
      <c r="G500" s="87"/>
      <c r="K500" s="90"/>
      <c r="L500" s="90"/>
    </row>
    <row r="501" spans="5:12" ht="15.75" customHeight="1">
      <c r="E501" s="86"/>
      <c r="F501" s="86"/>
      <c r="G501" s="87"/>
      <c r="K501" s="90"/>
      <c r="L501" s="90"/>
    </row>
    <row r="502" spans="5:12" ht="15.75" customHeight="1">
      <c r="E502" s="86"/>
      <c r="F502" s="86"/>
      <c r="G502" s="87"/>
      <c r="K502" s="90"/>
      <c r="L502" s="90"/>
    </row>
    <row r="503" spans="5:12" ht="15.75" customHeight="1">
      <c r="E503" s="86"/>
      <c r="F503" s="86"/>
      <c r="G503" s="87"/>
      <c r="K503" s="90"/>
      <c r="L503" s="90"/>
    </row>
    <row r="504" spans="5:12" ht="15.75" customHeight="1">
      <c r="E504" s="86"/>
      <c r="F504" s="86"/>
      <c r="G504" s="87"/>
      <c r="K504" s="90"/>
      <c r="L504" s="90"/>
    </row>
    <row r="505" spans="5:12" ht="15.75" customHeight="1">
      <c r="E505" s="86"/>
      <c r="F505" s="86"/>
      <c r="G505" s="87"/>
      <c r="K505" s="90"/>
      <c r="L505" s="90"/>
    </row>
    <row r="506" spans="5:12" ht="15.75" customHeight="1">
      <c r="E506" s="86"/>
      <c r="F506" s="86"/>
      <c r="G506" s="87"/>
      <c r="K506" s="90"/>
      <c r="L506" s="90"/>
    </row>
    <row r="507" spans="5:12" ht="15.75" customHeight="1">
      <c r="E507" s="86"/>
      <c r="F507" s="86"/>
      <c r="G507" s="87"/>
      <c r="K507" s="90"/>
      <c r="L507" s="90"/>
    </row>
    <row r="508" spans="5:12" ht="15.75" customHeight="1">
      <c r="E508" s="86"/>
      <c r="F508" s="86"/>
      <c r="G508" s="87"/>
      <c r="K508" s="90"/>
      <c r="L508" s="90"/>
    </row>
    <row r="509" spans="5:12" ht="15.75" customHeight="1">
      <c r="E509" s="86"/>
      <c r="F509" s="86"/>
      <c r="G509" s="87"/>
      <c r="K509" s="90"/>
      <c r="L509" s="90"/>
    </row>
    <row r="510" spans="5:12" ht="15.75" customHeight="1">
      <c r="E510" s="86"/>
      <c r="F510" s="86"/>
      <c r="G510" s="87"/>
      <c r="K510" s="90"/>
      <c r="L510" s="90"/>
    </row>
    <row r="511" spans="5:12" ht="15.75" customHeight="1">
      <c r="E511" s="86"/>
      <c r="F511" s="86"/>
      <c r="G511" s="87"/>
      <c r="K511" s="90"/>
      <c r="L511" s="90"/>
    </row>
    <row r="512" spans="5:12" ht="15.75" customHeight="1">
      <c r="E512" s="86"/>
      <c r="F512" s="86"/>
      <c r="G512" s="87"/>
      <c r="K512" s="90"/>
      <c r="L512" s="90"/>
    </row>
    <row r="513" spans="5:12" ht="15.75" customHeight="1">
      <c r="E513" s="86"/>
      <c r="F513" s="86"/>
      <c r="G513" s="87"/>
      <c r="K513" s="90"/>
      <c r="L513" s="90"/>
    </row>
    <row r="514" spans="5:12" ht="15.75" customHeight="1">
      <c r="E514" s="86"/>
      <c r="F514" s="86"/>
      <c r="G514" s="87"/>
      <c r="K514" s="90"/>
      <c r="L514" s="90"/>
    </row>
    <row r="515" spans="5:12" ht="15.75" customHeight="1">
      <c r="E515" s="86"/>
      <c r="F515" s="86"/>
      <c r="G515" s="87"/>
      <c r="K515" s="90"/>
      <c r="L515" s="90"/>
    </row>
    <row r="516" spans="5:12" ht="15.75" customHeight="1">
      <c r="E516" s="86"/>
      <c r="F516" s="86"/>
      <c r="G516" s="87"/>
      <c r="K516" s="90"/>
      <c r="L516" s="90"/>
    </row>
    <row r="517" spans="5:12" ht="15.75" customHeight="1">
      <c r="E517" s="86"/>
      <c r="F517" s="86"/>
      <c r="G517" s="87"/>
      <c r="K517" s="90"/>
      <c r="L517" s="90"/>
    </row>
    <row r="518" spans="5:12" ht="15.75" customHeight="1">
      <c r="E518" s="86"/>
      <c r="F518" s="86"/>
      <c r="G518" s="87"/>
      <c r="K518" s="90"/>
      <c r="L518" s="90"/>
    </row>
    <row r="519" spans="5:12" ht="15.75" customHeight="1">
      <c r="E519" s="86"/>
      <c r="F519" s="86"/>
      <c r="G519" s="87"/>
      <c r="K519" s="90"/>
      <c r="L519" s="90"/>
    </row>
    <row r="520" spans="5:12" ht="15.75" customHeight="1">
      <c r="E520" s="86"/>
      <c r="F520" s="86"/>
      <c r="G520" s="87"/>
      <c r="K520" s="90"/>
      <c r="L520" s="90"/>
    </row>
    <row r="521" spans="5:12" ht="15.75" customHeight="1">
      <c r="E521" s="86"/>
      <c r="F521" s="86"/>
      <c r="G521" s="87"/>
      <c r="K521" s="90"/>
      <c r="L521" s="90"/>
    </row>
    <row r="522" spans="5:12" ht="15.75" customHeight="1">
      <c r="E522" s="86"/>
      <c r="F522" s="86"/>
      <c r="G522" s="87"/>
      <c r="K522" s="90"/>
      <c r="L522" s="90"/>
    </row>
    <row r="523" spans="5:12" ht="15.75" customHeight="1">
      <c r="E523" s="86"/>
      <c r="F523" s="86"/>
      <c r="G523" s="87"/>
      <c r="K523" s="90"/>
      <c r="L523" s="90"/>
    </row>
    <row r="524" spans="5:12" ht="15.75" customHeight="1">
      <c r="E524" s="86"/>
      <c r="F524" s="86"/>
      <c r="G524" s="87"/>
      <c r="K524" s="90"/>
      <c r="L524" s="90"/>
    </row>
    <row r="525" spans="5:12" ht="15.75" customHeight="1">
      <c r="E525" s="86"/>
      <c r="F525" s="86"/>
      <c r="G525" s="87"/>
      <c r="K525" s="90"/>
      <c r="L525" s="90"/>
    </row>
    <row r="526" spans="5:12" ht="15.75" customHeight="1">
      <c r="E526" s="86"/>
      <c r="F526" s="86"/>
      <c r="G526" s="87"/>
      <c r="K526" s="90"/>
      <c r="L526" s="90"/>
    </row>
    <row r="527" spans="5:12" ht="15.75" customHeight="1">
      <c r="E527" s="86"/>
      <c r="F527" s="86"/>
      <c r="G527" s="87"/>
      <c r="K527" s="90"/>
      <c r="L527" s="90"/>
    </row>
    <row r="528" spans="5:12" ht="15.75" customHeight="1">
      <c r="E528" s="86"/>
      <c r="F528" s="86"/>
      <c r="G528" s="87"/>
      <c r="K528" s="90"/>
      <c r="L528" s="90"/>
    </row>
    <row r="529" spans="5:12" ht="15.75" customHeight="1">
      <c r="E529" s="86"/>
      <c r="F529" s="86"/>
      <c r="G529" s="87"/>
      <c r="K529" s="90"/>
      <c r="L529" s="90"/>
    </row>
    <row r="530" spans="5:12" ht="15.75" customHeight="1">
      <c r="E530" s="86"/>
      <c r="F530" s="86"/>
      <c r="G530" s="87"/>
      <c r="K530" s="90"/>
      <c r="L530" s="90"/>
    </row>
    <row r="531" spans="5:12" ht="15.75" customHeight="1">
      <c r="E531" s="86"/>
      <c r="F531" s="86"/>
      <c r="G531" s="87"/>
      <c r="K531" s="90"/>
      <c r="L531" s="90"/>
    </row>
    <row r="532" spans="5:12" ht="15.75" customHeight="1">
      <c r="E532" s="86"/>
      <c r="F532" s="86"/>
      <c r="G532" s="87"/>
      <c r="K532" s="90"/>
      <c r="L532" s="90"/>
    </row>
    <row r="533" spans="5:12" ht="15.75" customHeight="1">
      <c r="E533" s="86"/>
      <c r="F533" s="86"/>
      <c r="G533" s="87"/>
      <c r="K533" s="90"/>
      <c r="L533" s="90"/>
    </row>
    <row r="534" spans="5:12" ht="15.75" customHeight="1">
      <c r="E534" s="86"/>
      <c r="F534" s="86"/>
      <c r="G534" s="87"/>
      <c r="K534" s="90"/>
      <c r="L534" s="90"/>
    </row>
    <row r="535" spans="5:12" ht="15.75" customHeight="1">
      <c r="E535" s="86"/>
      <c r="F535" s="86"/>
      <c r="G535" s="87"/>
      <c r="K535" s="90"/>
      <c r="L535" s="90"/>
    </row>
    <row r="536" spans="5:12" ht="15.75" customHeight="1">
      <c r="E536" s="86"/>
      <c r="F536" s="86"/>
      <c r="G536" s="87"/>
      <c r="K536" s="90"/>
      <c r="L536" s="90"/>
    </row>
    <row r="537" spans="5:12" ht="15.75" customHeight="1">
      <c r="E537" s="86"/>
      <c r="F537" s="86"/>
      <c r="G537" s="87"/>
      <c r="K537" s="90"/>
      <c r="L537" s="90"/>
    </row>
    <row r="538" spans="5:12" ht="15.75" customHeight="1">
      <c r="E538" s="86"/>
      <c r="F538" s="86"/>
      <c r="G538" s="87"/>
      <c r="K538" s="90"/>
      <c r="L538" s="90"/>
    </row>
    <row r="539" spans="5:12" ht="15.75" customHeight="1">
      <c r="E539" s="86"/>
      <c r="F539" s="86"/>
      <c r="G539" s="87"/>
      <c r="K539" s="90"/>
      <c r="L539" s="90"/>
    </row>
    <row r="540" spans="5:12" ht="15.75" customHeight="1">
      <c r="E540" s="86"/>
      <c r="F540" s="86"/>
      <c r="G540" s="87"/>
      <c r="K540" s="90"/>
      <c r="L540" s="90"/>
    </row>
    <row r="541" spans="5:12" ht="15.75" customHeight="1">
      <c r="E541" s="86"/>
      <c r="F541" s="86"/>
      <c r="G541" s="87"/>
      <c r="K541" s="90"/>
      <c r="L541" s="90"/>
    </row>
    <row r="542" spans="5:12" ht="15.75" customHeight="1">
      <c r="E542" s="86"/>
      <c r="F542" s="86"/>
      <c r="G542" s="87"/>
      <c r="K542" s="90"/>
      <c r="L542" s="90"/>
    </row>
    <row r="543" spans="5:12" ht="15.75" customHeight="1">
      <c r="E543" s="86"/>
      <c r="F543" s="86"/>
      <c r="G543" s="87"/>
      <c r="K543" s="90"/>
      <c r="L543" s="90"/>
    </row>
    <row r="544" spans="5:12" ht="15.75" customHeight="1">
      <c r="E544" s="86"/>
      <c r="F544" s="86"/>
      <c r="G544" s="87"/>
      <c r="K544" s="90"/>
      <c r="L544" s="90"/>
    </row>
    <row r="545" spans="5:12" ht="15.75" customHeight="1">
      <c r="E545" s="86"/>
      <c r="F545" s="86"/>
      <c r="G545" s="87"/>
      <c r="K545" s="90"/>
      <c r="L545" s="90"/>
    </row>
    <row r="546" spans="5:12" ht="15.75" customHeight="1">
      <c r="E546" s="86"/>
      <c r="F546" s="86"/>
      <c r="G546" s="87"/>
      <c r="K546" s="90"/>
      <c r="L546" s="90"/>
    </row>
    <row r="547" spans="5:12" ht="15.75" customHeight="1">
      <c r="E547" s="86"/>
      <c r="F547" s="86"/>
      <c r="G547" s="87"/>
      <c r="K547" s="90"/>
      <c r="L547" s="90"/>
    </row>
    <row r="548" spans="5:12" ht="15.75" customHeight="1">
      <c r="E548" s="86"/>
      <c r="F548" s="86"/>
      <c r="G548" s="87"/>
      <c r="K548" s="90"/>
      <c r="L548" s="90"/>
    </row>
    <row r="549" spans="5:12" ht="15.75" customHeight="1">
      <c r="E549" s="86"/>
      <c r="F549" s="86"/>
      <c r="G549" s="87"/>
      <c r="K549" s="90"/>
      <c r="L549" s="90"/>
    </row>
    <row r="550" spans="5:12" ht="15.75" customHeight="1">
      <c r="E550" s="86"/>
      <c r="F550" s="86"/>
      <c r="G550" s="87"/>
      <c r="K550" s="90"/>
      <c r="L550" s="90"/>
    </row>
    <row r="551" spans="5:12" ht="15.75" customHeight="1">
      <c r="E551" s="86"/>
      <c r="F551" s="86"/>
      <c r="G551" s="87"/>
      <c r="K551" s="90"/>
      <c r="L551" s="90"/>
    </row>
    <row r="552" spans="5:12" ht="15.75" customHeight="1">
      <c r="E552" s="86"/>
      <c r="F552" s="86"/>
      <c r="G552" s="87"/>
      <c r="K552" s="90"/>
      <c r="L552" s="90"/>
    </row>
    <row r="553" spans="5:12" ht="15.75" customHeight="1">
      <c r="E553" s="86"/>
      <c r="F553" s="86"/>
      <c r="G553" s="87"/>
      <c r="K553" s="90"/>
      <c r="L553" s="90"/>
    </row>
    <row r="554" spans="5:12" ht="15.75" customHeight="1">
      <c r="E554" s="86"/>
      <c r="F554" s="86"/>
      <c r="G554" s="87"/>
      <c r="K554" s="90"/>
      <c r="L554" s="90"/>
    </row>
    <row r="555" spans="5:12" ht="15.75" customHeight="1">
      <c r="E555" s="86"/>
      <c r="F555" s="86"/>
      <c r="G555" s="87"/>
      <c r="K555" s="90"/>
      <c r="L555" s="90"/>
    </row>
    <row r="556" spans="5:12" ht="15.75" customHeight="1">
      <c r="E556" s="86"/>
      <c r="F556" s="86"/>
      <c r="G556" s="87"/>
      <c r="K556" s="90"/>
      <c r="L556" s="90"/>
    </row>
    <row r="557" spans="5:12" ht="15.75" customHeight="1">
      <c r="E557" s="86"/>
      <c r="F557" s="86"/>
      <c r="G557" s="87"/>
      <c r="K557" s="90"/>
      <c r="L557" s="90"/>
    </row>
    <row r="558" spans="5:12" ht="15.75" customHeight="1">
      <c r="E558" s="86"/>
      <c r="F558" s="86"/>
      <c r="G558" s="87"/>
      <c r="K558" s="90"/>
      <c r="L558" s="90"/>
    </row>
    <row r="559" spans="5:12" ht="15.75" customHeight="1">
      <c r="E559" s="86"/>
      <c r="F559" s="86"/>
      <c r="G559" s="87"/>
      <c r="K559" s="90"/>
      <c r="L559" s="90"/>
    </row>
    <row r="560" spans="5:12" ht="15.75" customHeight="1">
      <c r="E560" s="86"/>
      <c r="F560" s="86"/>
      <c r="G560" s="87"/>
      <c r="K560" s="90"/>
      <c r="L560" s="90"/>
    </row>
    <row r="561" spans="5:12" ht="15.75" customHeight="1">
      <c r="E561" s="86"/>
      <c r="F561" s="86"/>
      <c r="G561" s="87"/>
      <c r="K561" s="90"/>
      <c r="L561" s="90"/>
    </row>
    <row r="562" spans="5:12" ht="15.75" customHeight="1">
      <c r="E562" s="86"/>
      <c r="F562" s="86"/>
      <c r="G562" s="87"/>
      <c r="K562" s="90"/>
      <c r="L562" s="90"/>
    </row>
    <row r="563" spans="5:12" ht="15.75" customHeight="1">
      <c r="E563" s="86"/>
      <c r="F563" s="86"/>
      <c r="G563" s="87"/>
      <c r="K563" s="90"/>
      <c r="L563" s="90"/>
    </row>
    <row r="564" spans="5:12" ht="15.75" customHeight="1">
      <c r="E564" s="86"/>
      <c r="F564" s="86"/>
      <c r="G564" s="87"/>
      <c r="K564" s="90"/>
      <c r="L564" s="90"/>
    </row>
    <row r="565" spans="5:12" ht="15.75" customHeight="1">
      <c r="E565" s="86"/>
      <c r="F565" s="86"/>
      <c r="G565" s="87"/>
      <c r="K565" s="90"/>
      <c r="L565" s="90"/>
    </row>
    <row r="566" spans="5:12" ht="15.75" customHeight="1">
      <c r="E566" s="86"/>
      <c r="F566" s="86"/>
      <c r="G566" s="87"/>
      <c r="K566" s="90"/>
      <c r="L566" s="90"/>
    </row>
    <row r="567" spans="5:12" ht="15.75" customHeight="1">
      <c r="E567" s="86"/>
      <c r="F567" s="86"/>
      <c r="G567" s="87"/>
      <c r="K567" s="90"/>
      <c r="L567" s="90"/>
    </row>
    <row r="568" spans="5:12" ht="15.75" customHeight="1">
      <c r="E568" s="86"/>
      <c r="F568" s="86"/>
      <c r="G568" s="87"/>
      <c r="K568" s="90"/>
      <c r="L568" s="90"/>
    </row>
    <row r="569" spans="5:12" ht="15.75" customHeight="1">
      <c r="E569" s="86"/>
      <c r="F569" s="86"/>
      <c r="G569" s="87"/>
      <c r="K569" s="90"/>
      <c r="L569" s="90"/>
    </row>
    <row r="570" spans="5:12" ht="15.75" customHeight="1">
      <c r="E570" s="86"/>
      <c r="F570" s="86"/>
      <c r="G570" s="87"/>
      <c r="K570" s="90"/>
      <c r="L570" s="90"/>
    </row>
    <row r="571" spans="5:12" ht="15.75" customHeight="1">
      <c r="E571" s="86"/>
      <c r="F571" s="86"/>
      <c r="G571" s="87"/>
      <c r="K571" s="90"/>
      <c r="L571" s="90"/>
    </row>
    <row r="572" spans="5:12" ht="15.75" customHeight="1">
      <c r="E572" s="86"/>
      <c r="F572" s="86"/>
      <c r="G572" s="87"/>
      <c r="K572" s="90"/>
      <c r="L572" s="90"/>
    </row>
    <row r="573" spans="5:12" ht="15.75" customHeight="1">
      <c r="E573" s="86"/>
      <c r="F573" s="86"/>
      <c r="G573" s="87"/>
      <c r="K573" s="90"/>
      <c r="L573" s="90"/>
    </row>
    <row r="574" spans="5:12" ht="15.75" customHeight="1">
      <c r="E574" s="86"/>
      <c r="F574" s="86"/>
      <c r="G574" s="87"/>
      <c r="K574" s="90"/>
      <c r="L574" s="90"/>
    </row>
    <row r="575" spans="5:12" ht="15.75" customHeight="1">
      <c r="E575" s="86"/>
      <c r="F575" s="86"/>
      <c r="G575" s="87"/>
      <c r="K575" s="90"/>
      <c r="L575" s="90"/>
    </row>
    <row r="576" spans="5:12" ht="15.75" customHeight="1">
      <c r="E576" s="86"/>
      <c r="F576" s="86"/>
      <c r="G576" s="87"/>
      <c r="K576" s="90"/>
      <c r="L576" s="90"/>
    </row>
    <row r="577" spans="5:12" ht="15.75" customHeight="1">
      <c r="E577" s="86"/>
      <c r="F577" s="86"/>
      <c r="G577" s="87"/>
      <c r="K577" s="90"/>
      <c r="L577" s="90"/>
    </row>
    <row r="578" spans="5:12" ht="15.75" customHeight="1">
      <c r="E578" s="86"/>
      <c r="F578" s="86"/>
      <c r="G578" s="87"/>
      <c r="K578" s="90"/>
      <c r="L578" s="90"/>
    </row>
    <row r="579" spans="5:12" ht="15.75" customHeight="1">
      <c r="E579" s="86"/>
      <c r="F579" s="86"/>
      <c r="G579" s="87"/>
      <c r="K579" s="90"/>
      <c r="L579" s="90"/>
    </row>
    <row r="580" spans="5:12" ht="15.75" customHeight="1">
      <c r="E580" s="86"/>
      <c r="F580" s="86"/>
      <c r="G580" s="87"/>
      <c r="K580" s="90"/>
      <c r="L580" s="90"/>
    </row>
    <row r="581" spans="5:12" ht="15.75" customHeight="1">
      <c r="E581" s="86"/>
      <c r="F581" s="86"/>
      <c r="G581" s="87"/>
      <c r="K581" s="90"/>
      <c r="L581" s="90"/>
    </row>
    <row r="582" spans="5:12" ht="15.75" customHeight="1">
      <c r="E582" s="86"/>
      <c r="F582" s="86"/>
      <c r="G582" s="87"/>
      <c r="K582" s="90"/>
      <c r="L582" s="90"/>
    </row>
    <row r="583" spans="5:12" ht="15.75" customHeight="1">
      <c r="E583" s="86"/>
      <c r="F583" s="86"/>
      <c r="G583" s="87"/>
      <c r="K583" s="90"/>
      <c r="L583" s="90"/>
    </row>
    <row r="584" spans="5:12" ht="15.75" customHeight="1">
      <c r="E584" s="86"/>
      <c r="F584" s="86"/>
      <c r="G584" s="87"/>
      <c r="K584" s="90"/>
      <c r="L584" s="90"/>
    </row>
    <row r="585" spans="5:12" ht="15.75" customHeight="1">
      <c r="E585" s="86"/>
      <c r="F585" s="86"/>
      <c r="G585" s="87"/>
      <c r="K585" s="90"/>
      <c r="L585" s="90"/>
    </row>
    <row r="586" spans="5:12" ht="15.75" customHeight="1">
      <c r="E586" s="86"/>
      <c r="F586" s="86"/>
      <c r="G586" s="87"/>
      <c r="K586" s="90"/>
      <c r="L586" s="90"/>
    </row>
    <row r="587" spans="5:12" ht="15.75" customHeight="1">
      <c r="E587" s="86"/>
      <c r="F587" s="86"/>
      <c r="G587" s="87"/>
      <c r="K587" s="90"/>
      <c r="L587" s="90"/>
    </row>
    <row r="588" spans="5:12" ht="15.75" customHeight="1">
      <c r="E588" s="86"/>
      <c r="F588" s="86"/>
      <c r="G588" s="87"/>
      <c r="K588" s="90"/>
      <c r="L588" s="90"/>
    </row>
    <row r="589" spans="5:12" ht="15.75" customHeight="1">
      <c r="E589" s="86"/>
      <c r="F589" s="86"/>
      <c r="G589" s="87"/>
      <c r="K589" s="90"/>
      <c r="L589" s="90"/>
    </row>
    <row r="590" spans="5:12" ht="15.75" customHeight="1">
      <c r="E590" s="86"/>
      <c r="F590" s="86"/>
      <c r="G590" s="87"/>
      <c r="K590" s="90"/>
      <c r="L590" s="90"/>
    </row>
    <row r="591" spans="5:12" ht="15.75" customHeight="1">
      <c r="E591" s="86"/>
      <c r="F591" s="86"/>
      <c r="G591" s="87"/>
      <c r="K591" s="90"/>
      <c r="L591" s="90"/>
    </row>
    <row r="592" spans="5:12" ht="15.75" customHeight="1">
      <c r="E592" s="86"/>
      <c r="F592" s="86"/>
      <c r="G592" s="87"/>
      <c r="K592" s="90"/>
      <c r="L592" s="90"/>
    </row>
    <row r="593" spans="5:12" ht="15.75" customHeight="1">
      <c r="E593" s="86"/>
      <c r="F593" s="86"/>
      <c r="G593" s="87"/>
      <c r="K593" s="90"/>
      <c r="L593" s="90"/>
    </row>
    <row r="594" spans="5:12" ht="15.75" customHeight="1">
      <c r="E594" s="86"/>
      <c r="F594" s="86"/>
      <c r="G594" s="87"/>
      <c r="K594" s="90"/>
      <c r="L594" s="90"/>
    </row>
    <row r="595" spans="5:12" ht="15.75" customHeight="1">
      <c r="E595" s="86"/>
      <c r="F595" s="86"/>
      <c r="G595" s="87"/>
      <c r="K595" s="90"/>
      <c r="L595" s="90"/>
    </row>
    <row r="596" spans="5:12" ht="15.75" customHeight="1">
      <c r="E596" s="86"/>
      <c r="F596" s="86"/>
      <c r="G596" s="87"/>
      <c r="K596" s="90"/>
      <c r="L596" s="90"/>
    </row>
    <row r="597" spans="5:12" ht="15.75" customHeight="1">
      <c r="E597" s="86"/>
      <c r="F597" s="86"/>
      <c r="G597" s="87"/>
      <c r="K597" s="90"/>
      <c r="L597" s="90"/>
    </row>
    <row r="598" spans="5:12" ht="15.75" customHeight="1">
      <c r="E598" s="86"/>
      <c r="F598" s="86"/>
      <c r="G598" s="87"/>
      <c r="K598" s="90"/>
      <c r="L598" s="90"/>
    </row>
    <row r="599" spans="5:12" ht="15.75" customHeight="1">
      <c r="E599" s="86"/>
      <c r="F599" s="86"/>
      <c r="G599" s="87"/>
      <c r="K599" s="90"/>
      <c r="L599" s="90"/>
    </row>
    <row r="600" spans="5:12" ht="15.75" customHeight="1">
      <c r="E600" s="86"/>
      <c r="F600" s="86"/>
      <c r="G600" s="87"/>
      <c r="K600" s="90"/>
      <c r="L600" s="90"/>
    </row>
    <row r="601" spans="5:12" ht="15.75" customHeight="1">
      <c r="E601" s="86"/>
      <c r="F601" s="86"/>
      <c r="G601" s="87"/>
      <c r="K601" s="90"/>
      <c r="L601" s="90"/>
    </row>
    <row r="602" spans="5:12" ht="15.75" customHeight="1">
      <c r="E602" s="86"/>
      <c r="F602" s="86"/>
      <c r="G602" s="87"/>
      <c r="K602" s="90"/>
      <c r="L602" s="90"/>
    </row>
    <row r="603" spans="5:12" ht="15.75" customHeight="1">
      <c r="E603" s="86"/>
      <c r="F603" s="86"/>
      <c r="G603" s="87"/>
      <c r="K603" s="90"/>
      <c r="L603" s="90"/>
    </row>
    <row r="604" spans="5:12" ht="15.75" customHeight="1">
      <c r="E604" s="86"/>
      <c r="F604" s="86"/>
      <c r="G604" s="87"/>
      <c r="K604" s="90"/>
      <c r="L604" s="90"/>
    </row>
    <row r="605" spans="5:12" ht="15.75" customHeight="1">
      <c r="E605" s="86"/>
      <c r="F605" s="86"/>
      <c r="G605" s="87"/>
      <c r="K605" s="90"/>
      <c r="L605" s="90"/>
    </row>
    <row r="606" spans="5:12" ht="15.75" customHeight="1">
      <c r="E606" s="86"/>
      <c r="F606" s="86"/>
      <c r="G606" s="87"/>
      <c r="K606" s="90"/>
      <c r="L606" s="90"/>
    </row>
    <row r="607" spans="5:12" ht="15.75" customHeight="1">
      <c r="E607" s="86"/>
      <c r="F607" s="86"/>
      <c r="G607" s="87"/>
      <c r="K607" s="90"/>
      <c r="L607" s="90"/>
    </row>
    <row r="608" spans="5:12" ht="15.75" customHeight="1">
      <c r="E608" s="86"/>
      <c r="F608" s="86"/>
      <c r="G608" s="87"/>
      <c r="K608" s="90"/>
      <c r="L608" s="90"/>
    </row>
    <row r="609" spans="5:12" ht="15.75" customHeight="1">
      <c r="E609" s="86"/>
      <c r="F609" s="86"/>
      <c r="G609" s="87"/>
      <c r="K609" s="90"/>
      <c r="L609" s="90"/>
    </row>
    <row r="610" spans="5:12" ht="15.75" customHeight="1">
      <c r="E610" s="86"/>
      <c r="F610" s="86"/>
      <c r="G610" s="87"/>
      <c r="K610" s="90"/>
      <c r="L610" s="90"/>
    </row>
    <row r="611" spans="5:12" ht="15.75" customHeight="1">
      <c r="E611" s="86"/>
      <c r="F611" s="86"/>
      <c r="G611" s="87"/>
      <c r="K611" s="90"/>
      <c r="L611" s="90"/>
    </row>
    <row r="612" spans="5:12" ht="15.75" customHeight="1">
      <c r="E612" s="86"/>
      <c r="F612" s="86"/>
      <c r="G612" s="87"/>
      <c r="K612" s="90"/>
      <c r="L612" s="90"/>
    </row>
    <row r="613" spans="5:12" ht="15.75" customHeight="1">
      <c r="E613" s="86"/>
      <c r="F613" s="86"/>
      <c r="G613" s="87"/>
      <c r="K613" s="90"/>
      <c r="L613" s="90"/>
    </row>
    <row r="614" spans="5:12" ht="15.75" customHeight="1">
      <c r="E614" s="86"/>
      <c r="F614" s="86"/>
      <c r="G614" s="87"/>
      <c r="K614" s="90"/>
      <c r="L614" s="90"/>
    </row>
    <row r="615" spans="5:12" ht="15.75" customHeight="1">
      <c r="E615" s="86"/>
      <c r="F615" s="86"/>
      <c r="G615" s="87"/>
      <c r="K615" s="90"/>
      <c r="L615" s="90"/>
    </row>
    <row r="616" spans="5:12" ht="15.75" customHeight="1">
      <c r="E616" s="86"/>
      <c r="F616" s="86"/>
      <c r="G616" s="87"/>
      <c r="K616" s="90"/>
      <c r="L616" s="90"/>
    </row>
    <row r="617" spans="5:12" ht="15.75" customHeight="1">
      <c r="E617" s="86"/>
      <c r="F617" s="86"/>
      <c r="G617" s="87"/>
      <c r="K617" s="90"/>
      <c r="L617" s="90"/>
    </row>
    <row r="618" spans="5:12" ht="15.75" customHeight="1">
      <c r="E618" s="86"/>
      <c r="F618" s="86"/>
      <c r="G618" s="87"/>
      <c r="K618" s="90"/>
      <c r="L618" s="90"/>
    </row>
    <row r="619" spans="5:12" ht="15.75" customHeight="1">
      <c r="E619" s="86"/>
      <c r="F619" s="86"/>
      <c r="G619" s="87"/>
      <c r="K619" s="90"/>
      <c r="L619" s="90"/>
    </row>
    <row r="620" spans="5:12" ht="15.75" customHeight="1">
      <c r="E620" s="86"/>
      <c r="F620" s="86"/>
      <c r="G620" s="87"/>
      <c r="K620" s="90"/>
      <c r="L620" s="90"/>
    </row>
    <row r="621" spans="5:12" ht="15.75" customHeight="1">
      <c r="E621" s="86"/>
      <c r="F621" s="86"/>
      <c r="G621" s="87"/>
      <c r="K621" s="90"/>
      <c r="L621" s="90"/>
    </row>
    <row r="622" spans="5:12" ht="15.75" customHeight="1">
      <c r="E622" s="86"/>
      <c r="F622" s="86"/>
      <c r="G622" s="87"/>
      <c r="K622" s="90"/>
      <c r="L622" s="90"/>
    </row>
    <row r="623" spans="5:12" ht="15.75" customHeight="1">
      <c r="E623" s="86"/>
      <c r="F623" s="86"/>
      <c r="G623" s="87"/>
      <c r="K623" s="90"/>
      <c r="L623" s="90"/>
    </row>
    <row r="624" spans="5:12" ht="15.75" customHeight="1">
      <c r="E624" s="86"/>
      <c r="F624" s="86"/>
      <c r="G624" s="87"/>
      <c r="K624" s="90"/>
      <c r="L624" s="90"/>
    </row>
    <row r="625" spans="5:12" ht="15.75" customHeight="1">
      <c r="E625" s="86"/>
      <c r="F625" s="86"/>
      <c r="G625" s="87"/>
      <c r="K625" s="90"/>
      <c r="L625" s="90"/>
    </row>
    <row r="626" spans="5:12" ht="15.75" customHeight="1">
      <c r="E626" s="86"/>
      <c r="F626" s="86"/>
      <c r="G626" s="87"/>
      <c r="K626" s="90"/>
      <c r="L626" s="90"/>
    </row>
    <row r="627" spans="5:12" ht="15.75" customHeight="1">
      <c r="E627" s="86"/>
      <c r="F627" s="86"/>
      <c r="G627" s="87"/>
      <c r="K627" s="90"/>
      <c r="L627" s="90"/>
    </row>
    <row r="628" spans="5:12" ht="15.75" customHeight="1">
      <c r="E628" s="86"/>
      <c r="F628" s="86"/>
      <c r="G628" s="87"/>
      <c r="K628" s="90"/>
      <c r="L628" s="90"/>
    </row>
    <row r="629" spans="5:12" ht="15.75" customHeight="1">
      <c r="E629" s="86"/>
      <c r="F629" s="86"/>
      <c r="G629" s="87"/>
      <c r="K629" s="90"/>
      <c r="L629" s="90"/>
    </row>
    <row r="630" spans="5:12" ht="15.75" customHeight="1">
      <c r="E630" s="86"/>
      <c r="F630" s="86"/>
      <c r="G630" s="87"/>
      <c r="K630" s="90"/>
      <c r="L630" s="90"/>
    </row>
    <row r="631" spans="5:12" ht="15.75" customHeight="1">
      <c r="E631" s="86"/>
      <c r="F631" s="86"/>
      <c r="G631" s="87"/>
      <c r="K631" s="90"/>
      <c r="L631" s="90"/>
    </row>
    <row r="632" spans="5:12" ht="15.75" customHeight="1">
      <c r="E632" s="86"/>
      <c r="F632" s="86"/>
      <c r="G632" s="87"/>
      <c r="K632" s="90"/>
      <c r="L632" s="90"/>
    </row>
    <row r="633" spans="5:12" ht="15.75" customHeight="1">
      <c r="E633" s="86"/>
      <c r="F633" s="86"/>
      <c r="G633" s="87"/>
      <c r="K633" s="90"/>
      <c r="L633" s="90"/>
    </row>
    <row r="634" spans="5:12" ht="15.75" customHeight="1">
      <c r="E634" s="86"/>
      <c r="F634" s="86"/>
      <c r="G634" s="87"/>
      <c r="K634" s="90"/>
      <c r="L634" s="90"/>
    </row>
    <row r="635" spans="5:12" ht="15.75" customHeight="1">
      <c r="E635" s="86"/>
      <c r="F635" s="86"/>
      <c r="G635" s="87"/>
      <c r="K635" s="90"/>
      <c r="L635" s="90"/>
    </row>
    <row r="636" spans="5:12" ht="15.75" customHeight="1">
      <c r="E636" s="86"/>
      <c r="F636" s="86"/>
      <c r="G636" s="87"/>
      <c r="K636" s="90"/>
      <c r="L636" s="90"/>
    </row>
    <row r="637" spans="5:12" ht="15.75" customHeight="1">
      <c r="E637" s="86"/>
      <c r="F637" s="86"/>
      <c r="G637" s="87"/>
      <c r="K637" s="90"/>
      <c r="L637" s="90"/>
    </row>
    <row r="638" spans="5:12" ht="15.75" customHeight="1">
      <c r="E638" s="86"/>
      <c r="F638" s="86"/>
      <c r="G638" s="87"/>
      <c r="K638" s="90"/>
      <c r="L638" s="90"/>
    </row>
    <row r="639" spans="5:12" ht="15.75" customHeight="1">
      <c r="E639" s="86"/>
      <c r="F639" s="86"/>
      <c r="G639" s="87"/>
      <c r="K639" s="90"/>
      <c r="L639" s="90"/>
    </row>
    <row r="640" spans="5:12" ht="15.75" customHeight="1">
      <c r="E640" s="86"/>
      <c r="F640" s="86"/>
      <c r="G640" s="87"/>
      <c r="K640" s="90"/>
      <c r="L640" s="90"/>
    </row>
    <row r="641" spans="5:12" ht="15.75" customHeight="1">
      <c r="E641" s="86"/>
      <c r="F641" s="86"/>
      <c r="G641" s="87"/>
      <c r="K641" s="90"/>
      <c r="L641" s="90"/>
    </row>
    <row r="642" spans="5:12" ht="15.75" customHeight="1">
      <c r="E642" s="86"/>
      <c r="F642" s="86"/>
      <c r="G642" s="87"/>
      <c r="K642" s="90"/>
      <c r="L642" s="90"/>
    </row>
    <row r="643" spans="5:12" ht="15.75" customHeight="1">
      <c r="E643" s="86"/>
      <c r="F643" s="86"/>
      <c r="G643" s="87"/>
      <c r="K643" s="90"/>
      <c r="L643" s="90"/>
    </row>
    <row r="644" spans="5:12" ht="15.75" customHeight="1">
      <c r="E644" s="86"/>
      <c r="F644" s="86"/>
      <c r="G644" s="87"/>
      <c r="K644" s="90"/>
      <c r="L644" s="90"/>
    </row>
    <row r="645" spans="5:12" ht="15.75" customHeight="1">
      <c r="E645" s="86"/>
      <c r="F645" s="86"/>
      <c r="G645" s="87"/>
      <c r="K645" s="90"/>
      <c r="L645" s="90"/>
    </row>
    <row r="646" spans="5:12" ht="15.75" customHeight="1">
      <c r="E646" s="86"/>
      <c r="F646" s="86"/>
      <c r="G646" s="87"/>
      <c r="K646" s="90"/>
      <c r="L646" s="90"/>
    </row>
    <row r="647" spans="5:12" ht="15.75" customHeight="1">
      <c r="E647" s="86"/>
      <c r="F647" s="86"/>
      <c r="G647" s="87"/>
      <c r="K647" s="90"/>
      <c r="L647" s="90"/>
    </row>
    <row r="648" spans="5:12" ht="15.75" customHeight="1">
      <c r="E648" s="86"/>
      <c r="F648" s="86"/>
      <c r="G648" s="87"/>
      <c r="K648" s="90"/>
      <c r="L648" s="90"/>
    </row>
    <row r="649" spans="5:12" ht="15.75" customHeight="1">
      <c r="E649" s="86"/>
      <c r="F649" s="86"/>
      <c r="G649" s="87"/>
      <c r="K649" s="90"/>
      <c r="L649" s="90"/>
    </row>
    <row r="650" spans="5:12" ht="15.75" customHeight="1">
      <c r="E650" s="86"/>
      <c r="F650" s="86"/>
      <c r="G650" s="87"/>
      <c r="K650" s="90"/>
      <c r="L650" s="90"/>
    </row>
    <row r="651" spans="5:12" ht="15.75" customHeight="1">
      <c r="E651" s="86"/>
      <c r="F651" s="86"/>
      <c r="G651" s="87"/>
      <c r="K651" s="90"/>
      <c r="L651" s="90"/>
    </row>
    <row r="652" spans="5:12" ht="15.75" customHeight="1">
      <c r="E652" s="86"/>
      <c r="F652" s="86"/>
      <c r="G652" s="87"/>
      <c r="K652" s="90"/>
      <c r="L652" s="90"/>
    </row>
    <row r="653" spans="5:12" ht="15.75" customHeight="1">
      <c r="E653" s="86"/>
      <c r="F653" s="86"/>
      <c r="G653" s="87"/>
      <c r="K653" s="90"/>
      <c r="L653" s="90"/>
    </row>
    <row r="654" spans="5:12" ht="15.75" customHeight="1">
      <c r="E654" s="86"/>
      <c r="F654" s="86"/>
      <c r="G654" s="87"/>
      <c r="K654" s="90"/>
      <c r="L654" s="90"/>
    </row>
    <row r="655" spans="5:12" ht="15.75" customHeight="1">
      <c r="E655" s="86"/>
      <c r="F655" s="86"/>
      <c r="G655" s="87"/>
      <c r="K655" s="90"/>
      <c r="L655" s="90"/>
    </row>
    <row r="656" spans="5:12" ht="15.75" customHeight="1">
      <c r="E656" s="86"/>
      <c r="F656" s="86"/>
      <c r="G656" s="87"/>
      <c r="K656" s="90"/>
      <c r="L656" s="90"/>
    </row>
    <row r="657" spans="5:12" ht="15.75" customHeight="1">
      <c r="E657" s="86"/>
      <c r="F657" s="86"/>
      <c r="G657" s="87"/>
      <c r="K657" s="90"/>
      <c r="L657" s="90"/>
    </row>
    <row r="658" spans="5:12" ht="15.75" customHeight="1">
      <c r="E658" s="86"/>
      <c r="F658" s="86"/>
      <c r="G658" s="87"/>
      <c r="K658" s="90"/>
      <c r="L658" s="90"/>
    </row>
    <row r="659" spans="5:12" ht="15.75" customHeight="1">
      <c r="E659" s="86"/>
      <c r="F659" s="86"/>
      <c r="G659" s="87"/>
      <c r="K659" s="90"/>
      <c r="L659" s="90"/>
    </row>
    <row r="660" spans="5:12" ht="15.75" customHeight="1">
      <c r="E660" s="86"/>
      <c r="F660" s="86"/>
      <c r="G660" s="87"/>
      <c r="K660" s="90"/>
      <c r="L660" s="90"/>
    </row>
    <row r="661" spans="5:12" ht="15.75" customHeight="1">
      <c r="E661" s="86"/>
      <c r="F661" s="86"/>
      <c r="G661" s="87"/>
      <c r="K661" s="90"/>
      <c r="L661" s="90"/>
    </row>
    <row r="662" spans="5:12" ht="15.75" customHeight="1">
      <c r="E662" s="86"/>
      <c r="F662" s="86"/>
      <c r="G662" s="87"/>
      <c r="K662" s="90"/>
      <c r="L662" s="90"/>
    </row>
    <row r="663" spans="5:12" ht="15.75" customHeight="1">
      <c r="E663" s="86"/>
      <c r="F663" s="86"/>
      <c r="G663" s="87"/>
      <c r="K663" s="90"/>
      <c r="L663" s="90"/>
    </row>
    <row r="664" spans="5:12" ht="15.75" customHeight="1">
      <c r="E664" s="86"/>
      <c r="F664" s="86"/>
      <c r="G664" s="87"/>
      <c r="K664" s="90"/>
      <c r="L664" s="90"/>
    </row>
    <row r="665" spans="5:12" ht="15.75" customHeight="1">
      <c r="E665" s="86"/>
      <c r="F665" s="86"/>
      <c r="G665" s="87"/>
      <c r="K665" s="90"/>
      <c r="L665" s="90"/>
    </row>
    <row r="666" spans="5:12" ht="15.75" customHeight="1">
      <c r="E666" s="86"/>
      <c r="F666" s="86"/>
      <c r="G666" s="87"/>
      <c r="K666" s="90"/>
      <c r="L666" s="90"/>
    </row>
    <row r="667" spans="5:12" ht="15.75" customHeight="1">
      <c r="E667" s="86"/>
      <c r="F667" s="86"/>
      <c r="G667" s="87"/>
      <c r="K667" s="90"/>
      <c r="L667" s="90"/>
    </row>
    <row r="668" spans="5:12" ht="15.75" customHeight="1">
      <c r="E668" s="86"/>
      <c r="F668" s="86"/>
      <c r="G668" s="87"/>
      <c r="K668" s="90"/>
      <c r="L668" s="90"/>
    </row>
    <row r="669" spans="5:12" ht="15.75" customHeight="1">
      <c r="E669" s="86"/>
      <c r="F669" s="86"/>
      <c r="G669" s="87"/>
      <c r="K669" s="90"/>
      <c r="L669" s="90"/>
    </row>
    <row r="670" spans="5:12" ht="15.75" customHeight="1">
      <c r="E670" s="86"/>
      <c r="F670" s="86"/>
      <c r="G670" s="87"/>
      <c r="K670" s="90"/>
      <c r="L670" s="90"/>
    </row>
    <row r="671" spans="5:12" ht="15.75" customHeight="1">
      <c r="E671" s="86"/>
      <c r="F671" s="86"/>
      <c r="G671" s="87"/>
      <c r="K671" s="90"/>
      <c r="L671" s="90"/>
    </row>
    <row r="672" spans="5:12" ht="15.75" customHeight="1">
      <c r="E672" s="86"/>
      <c r="F672" s="86"/>
      <c r="G672" s="87"/>
      <c r="K672" s="90"/>
      <c r="L672" s="90"/>
    </row>
    <row r="673" spans="5:12" ht="15.75" customHeight="1">
      <c r="E673" s="86"/>
      <c r="F673" s="86"/>
      <c r="G673" s="87"/>
      <c r="K673" s="90"/>
      <c r="L673" s="90"/>
    </row>
    <row r="674" spans="5:12" ht="15.75" customHeight="1">
      <c r="E674" s="86"/>
      <c r="F674" s="86"/>
      <c r="G674" s="87"/>
      <c r="K674" s="90"/>
      <c r="L674" s="90"/>
    </row>
    <row r="675" spans="5:12" ht="15.75" customHeight="1">
      <c r="E675" s="86"/>
      <c r="F675" s="86"/>
      <c r="G675" s="87"/>
      <c r="K675" s="90"/>
      <c r="L675" s="90"/>
    </row>
    <row r="676" spans="5:12" ht="15.75" customHeight="1">
      <c r="E676" s="86"/>
      <c r="F676" s="86"/>
      <c r="G676" s="87"/>
      <c r="K676" s="90"/>
      <c r="L676" s="90"/>
    </row>
    <row r="677" spans="5:12" ht="15.75" customHeight="1">
      <c r="E677" s="86"/>
      <c r="F677" s="86"/>
      <c r="G677" s="87"/>
      <c r="K677" s="90"/>
      <c r="L677" s="90"/>
    </row>
    <row r="678" spans="5:12" ht="15.75" customHeight="1">
      <c r="E678" s="86"/>
      <c r="F678" s="86"/>
      <c r="G678" s="87"/>
      <c r="K678" s="90"/>
      <c r="L678" s="90"/>
    </row>
    <row r="679" spans="5:12" ht="15.75" customHeight="1">
      <c r="E679" s="86"/>
      <c r="F679" s="86"/>
      <c r="G679" s="87"/>
      <c r="K679" s="90"/>
      <c r="L679" s="90"/>
    </row>
    <row r="680" spans="5:12" ht="15.75" customHeight="1">
      <c r="E680" s="86"/>
      <c r="F680" s="86"/>
      <c r="G680" s="87"/>
      <c r="K680" s="90"/>
      <c r="L680" s="90"/>
    </row>
    <row r="681" spans="5:12" ht="15.75" customHeight="1">
      <c r="E681" s="86"/>
      <c r="F681" s="86"/>
      <c r="G681" s="87"/>
      <c r="K681" s="90"/>
      <c r="L681" s="90"/>
    </row>
    <row r="682" spans="5:12" ht="15.75" customHeight="1">
      <c r="E682" s="86"/>
      <c r="F682" s="86"/>
      <c r="G682" s="87"/>
      <c r="K682" s="90"/>
      <c r="L682" s="90"/>
    </row>
    <row r="683" spans="5:12" ht="15.75" customHeight="1">
      <c r="E683" s="86"/>
      <c r="F683" s="86"/>
      <c r="G683" s="87"/>
      <c r="K683" s="90"/>
      <c r="L683" s="90"/>
    </row>
    <row r="684" spans="5:12" ht="15.75" customHeight="1">
      <c r="E684" s="86"/>
      <c r="F684" s="86"/>
      <c r="G684" s="87"/>
      <c r="K684" s="90"/>
      <c r="L684" s="90"/>
    </row>
    <row r="685" spans="5:12" ht="15.75" customHeight="1">
      <c r="E685" s="86"/>
      <c r="F685" s="86"/>
      <c r="G685" s="87"/>
      <c r="K685" s="90"/>
      <c r="L685" s="90"/>
    </row>
    <row r="686" spans="5:12" ht="15.75" customHeight="1">
      <c r="E686" s="86"/>
      <c r="F686" s="86"/>
      <c r="G686" s="87"/>
      <c r="K686" s="90"/>
      <c r="L686" s="90"/>
    </row>
    <row r="687" spans="5:12" ht="15.75" customHeight="1">
      <c r="E687" s="86"/>
      <c r="F687" s="86"/>
      <c r="G687" s="87"/>
      <c r="K687" s="90"/>
      <c r="L687" s="90"/>
    </row>
    <row r="688" spans="5:12" ht="15.75" customHeight="1">
      <c r="E688" s="86"/>
      <c r="F688" s="86"/>
      <c r="G688" s="87"/>
      <c r="K688" s="90"/>
      <c r="L688" s="90"/>
    </row>
    <row r="689" spans="5:12" ht="15.75" customHeight="1">
      <c r="E689" s="86"/>
      <c r="F689" s="86"/>
      <c r="G689" s="87"/>
      <c r="K689" s="90"/>
      <c r="L689" s="90"/>
    </row>
    <row r="690" spans="5:12" ht="15.75" customHeight="1">
      <c r="E690" s="86"/>
      <c r="F690" s="86"/>
      <c r="G690" s="87"/>
      <c r="K690" s="90"/>
      <c r="L690" s="90"/>
    </row>
    <row r="691" spans="5:12" ht="15.75" customHeight="1">
      <c r="E691" s="86"/>
      <c r="F691" s="86"/>
      <c r="G691" s="87"/>
      <c r="K691" s="90"/>
      <c r="L691" s="90"/>
    </row>
    <row r="692" spans="5:12" ht="15.75" customHeight="1">
      <c r="E692" s="86"/>
      <c r="F692" s="86"/>
      <c r="G692" s="87"/>
      <c r="K692" s="90"/>
      <c r="L692" s="90"/>
    </row>
    <row r="693" spans="5:12" ht="15.75" customHeight="1">
      <c r="E693" s="86"/>
      <c r="F693" s="86"/>
      <c r="G693" s="87"/>
      <c r="K693" s="90"/>
      <c r="L693" s="90"/>
    </row>
    <row r="694" spans="5:12" ht="15.75" customHeight="1">
      <c r="E694" s="86"/>
      <c r="F694" s="86"/>
      <c r="G694" s="87"/>
      <c r="K694" s="90"/>
      <c r="L694" s="90"/>
    </row>
    <row r="695" spans="5:12" ht="15.75" customHeight="1">
      <c r="E695" s="86"/>
      <c r="F695" s="86"/>
      <c r="G695" s="87"/>
      <c r="K695" s="90"/>
      <c r="L695" s="90"/>
    </row>
    <row r="696" spans="5:12" ht="15.75" customHeight="1">
      <c r="E696" s="86"/>
      <c r="F696" s="86"/>
      <c r="G696" s="87"/>
      <c r="K696" s="90"/>
      <c r="L696" s="90"/>
    </row>
    <row r="697" spans="5:12" ht="15.75" customHeight="1">
      <c r="E697" s="86"/>
      <c r="F697" s="86"/>
      <c r="G697" s="87"/>
      <c r="K697" s="90"/>
      <c r="L697" s="90"/>
    </row>
    <row r="698" spans="5:12" ht="15.75" customHeight="1">
      <c r="E698" s="86"/>
      <c r="F698" s="86"/>
      <c r="G698" s="87"/>
      <c r="K698" s="90"/>
      <c r="L698" s="90"/>
    </row>
    <row r="699" spans="5:12" ht="15.75" customHeight="1">
      <c r="E699" s="86"/>
      <c r="F699" s="86"/>
      <c r="G699" s="87"/>
      <c r="K699" s="90"/>
      <c r="L699" s="90"/>
    </row>
    <row r="700" spans="5:12" ht="15.75" customHeight="1">
      <c r="E700" s="86"/>
      <c r="F700" s="86"/>
      <c r="G700" s="87"/>
      <c r="K700" s="90"/>
      <c r="L700" s="90"/>
    </row>
    <row r="701" spans="5:12" ht="15.75" customHeight="1">
      <c r="E701" s="86"/>
      <c r="F701" s="86"/>
      <c r="G701" s="87"/>
      <c r="K701" s="90"/>
      <c r="L701" s="90"/>
    </row>
    <row r="702" spans="5:12" ht="15.75" customHeight="1">
      <c r="E702" s="86"/>
      <c r="F702" s="86"/>
      <c r="G702" s="87"/>
      <c r="K702" s="90"/>
      <c r="L702" s="90"/>
    </row>
    <row r="703" spans="5:12" ht="15.75" customHeight="1">
      <c r="E703" s="86"/>
      <c r="F703" s="86"/>
      <c r="G703" s="87"/>
      <c r="K703" s="90"/>
      <c r="L703" s="90"/>
    </row>
    <row r="704" spans="5:12" ht="15.75" customHeight="1">
      <c r="E704" s="86"/>
      <c r="F704" s="86"/>
      <c r="G704" s="87"/>
      <c r="K704" s="90"/>
      <c r="L704" s="90"/>
    </row>
    <row r="705" spans="5:12" ht="15.75" customHeight="1">
      <c r="E705" s="86"/>
      <c r="F705" s="86"/>
      <c r="G705" s="87"/>
      <c r="K705" s="90"/>
      <c r="L705" s="90"/>
    </row>
    <row r="706" spans="5:12" ht="15.75" customHeight="1">
      <c r="E706" s="86"/>
      <c r="F706" s="86"/>
      <c r="G706" s="87"/>
      <c r="K706" s="90"/>
      <c r="L706" s="90"/>
    </row>
    <row r="707" spans="5:12" ht="15.75" customHeight="1">
      <c r="E707" s="86"/>
      <c r="F707" s="86"/>
      <c r="G707" s="87"/>
      <c r="K707" s="90"/>
      <c r="L707" s="90"/>
    </row>
    <row r="708" spans="5:12" ht="15.75" customHeight="1">
      <c r="E708" s="86"/>
      <c r="F708" s="86"/>
      <c r="G708" s="87"/>
      <c r="K708" s="90"/>
      <c r="L708" s="90"/>
    </row>
    <row r="709" spans="5:12" ht="15.75" customHeight="1">
      <c r="E709" s="86"/>
      <c r="F709" s="86"/>
      <c r="G709" s="87"/>
      <c r="K709" s="90"/>
      <c r="L709" s="90"/>
    </row>
    <row r="710" spans="5:12" ht="15.75" customHeight="1">
      <c r="E710" s="86"/>
      <c r="F710" s="86"/>
      <c r="G710" s="87"/>
      <c r="K710" s="90"/>
      <c r="L710" s="90"/>
    </row>
    <row r="711" spans="5:12" ht="15.75" customHeight="1">
      <c r="E711" s="86"/>
      <c r="F711" s="86"/>
      <c r="G711" s="87"/>
      <c r="K711" s="90"/>
      <c r="L711" s="90"/>
    </row>
    <row r="712" spans="5:12" ht="15.75" customHeight="1">
      <c r="E712" s="86"/>
      <c r="F712" s="86"/>
      <c r="G712" s="87"/>
      <c r="K712" s="90"/>
      <c r="L712" s="90"/>
    </row>
    <row r="713" spans="5:12" ht="15.75" customHeight="1">
      <c r="E713" s="86"/>
      <c r="F713" s="86"/>
      <c r="G713" s="87"/>
      <c r="K713" s="90"/>
      <c r="L713" s="90"/>
    </row>
    <row r="714" spans="5:12" ht="15.75" customHeight="1">
      <c r="E714" s="86"/>
      <c r="F714" s="86"/>
      <c r="G714" s="87"/>
      <c r="K714" s="90"/>
      <c r="L714" s="90"/>
    </row>
    <row r="715" spans="5:12" ht="15.75" customHeight="1">
      <c r="E715" s="86"/>
      <c r="F715" s="86"/>
      <c r="G715" s="87"/>
      <c r="K715" s="90"/>
      <c r="L715" s="90"/>
    </row>
    <row r="716" spans="5:12" ht="15.75" customHeight="1">
      <c r="E716" s="86"/>
      <c r="F716" s="86"/>
      <c r="G716" s="87"/>
      <c r="K716" s="90"/>
      <c r="L716" s="90"/>
    </row>
    <row r="717" spans="5:12" ht="15.75" customHeight="1">
      <c r="E717" s="86"/>
      <c r="F717" s="86"/>
      <c r="G717" s="87"/>
      <c r="K717" s="90"/>
      <c r="L717" s="90"/>
    </row>
    <row r="718" spans="5:12" ht="15.75" customHeight="1">
      <c r="E718" s="86"/>
      <c r="F718" s="86"/>
      <c r="G718" s="87"/>
      <c r="K718" s="90"/>
      <c r="L718" s="90"/>
    </row>
    <row r="719" spans="5:12" ht="15.75" customHeight="1">
      <c r="E719" s="86"/>
      <c r="F719" s="86"/>
      <c r="G719" s="87"/>
      <c r="K719" s="90"/>
      <c r="L719" s="90"/>
    </row>
    <row r="720" spans="5:12" ht="15.75" customHeight="1">
      <c r="E720" s="86"/>
      <c r="F720" s="86"/>
      <c r="G720" s="87"/>
      <c r="K720" s="90"/>
      <c r="L720" s="90"/>
    </row>
    <row r="721" spans="5:12" ht="15.75" customHeight="1">
      <c r="E721" s="86"/>
      <c r="F721" s="86"/>
      <c r="G721" s="87"/>
      <c r="K721" s="90"/>
      <c r="L721" s="90"/>
    </row>
    <row r="722" spans="5:12" ht="15.75" customHeight="1">
      <c r="E722" s="86"/>
      <c r="F722" s="86"/>
      <c r="G722" s="87"/>
      <c r="K722" s="90"/>
      <c r="L722" s="90"/>
    </row>
    <row r="723" spans="5:12" ht="15.75" customHeight="1">
      <c r="E723" s="86"/>
      <c r="F723" s="86"/>
      <c r="G723" s="87"/>
      <c r="K723" s="90"/>
      <c r="L723" s="90"/>
    </row>
    <row r="724" spans="5:12" ht="15.75" customHeight="1">
      <c r="E724" s="86"/>
      <c r="F724" s="86"/>
      <c r="G724" s="87"/>
      <c r="K724" s="90"/>
      <c r="L724" s="90"/>
    </row>
    <row r="725" spans="5:12" ht="15.75" customHeight="1">
      <c r="E725" s="86"/>
      <c r="F725" s="86"/>
      <c r="G725" s="87"/>
      <c r="K725" s="90"/>
      <c r="L725" s="90"/>
    </row>
    <row r="726" spans="5:12" ht="15.75" customHeight="1">
      <c r="E726" s="86"/>
      <c r="F726" s="86"/>
      <c r="G726" s="87"/>
      <c r="K726" s="90"/>
      <c r="L726" s="90"/>
    </row>
    <row r="727" spans="5:12" ht="15.75" customHeight="1">
      <c r="E727" s="86"/>
      <c r="F727" s="86"/>
      <c r="G727" s="87"/>
      <c r="K727" s="90"/>
      <c r="L727" s="90"/>
    </row>
    <row r="728" spans="5:12" ht="15.75" customHeight="1">
      <c r="E728" s="86"/>
      <c r="F728" s="86"/>
      <c r="G728" s="87"/>
      <c r="K728" s="90"/>
      <c r="L728" s="90"/>
    </row>
    <row r="729" spans="5:12" ht="15.75" customHeight="1">
      <c r="E729" s="86"/>
      <c r="F729" s="86"/>
      <c r="G729" s="87"/>
      <c r="K729" s="90"/>
      <c r="L729" s="90"/>
    </row>
    <row r="730" spans="5:12" ht="15.75" customHeight="1">
      <c r="E730" s="86"/>
      <c r="F730" s="86"/>
      <c r="G730" s="87"/>
      <c r="K730" s="90"/>
      <c r="L730" s="90"/>
    </row>
    <row r="731" spans="5:12" ht="15.75" customHeight="1">
      <c r="E731" s="86"/>
      <c r="F731" s="86"/>
      <c r="G731" s="87"/>
      <c r="K731" s="90"/>
      <c r="L731" s="90"/>
    </row>
    <row r="732" spans="5:12" ht="15.75" customHeight="1">
      <c r="E732" s="86"/>
      <c r="F732" s="86"/>
      <c r="G732" s="87"/>
      <c r="K732" s="90"/>
      <c r="L732" s="90"/>
    </row>
    <row r="733" spans="5:12" ht="15.75" customHeight="1">
      <c r="E733" s="86"/>
      <c r="F733" s="86"/>
      <c r="G733" s="87"/>
      <c r="K733" s="90"/>
      <c r="L733" s="90"/>
    </row>
    <row r="734" spans="5:12" ht="15.75" customHeight="1">
      <c r="E734" s="86"/>
      <c r="F734" s="86"/>
      <c r="G734" s="87"/>
      <c r="K734" s="90"/>
      <c r="L734" s="90"/>
    </row>
    <row r="735" spans="5:12" ht="15.75" customHeight="1">
      <c r="E735" s="86"/>
      <c r="F735" s="86"/>
      <c r="G735" s="87"/>
      <c r="K735" s="90"/>
      <c r="L735" s="90"/>
    </row>
    <row r="736" spans="5:12" ht="15.75" customHeight="1">
      <c r="E736" s="86"/>
      <c r="F736" s="86"/>
      <c r="G736" s="87"/>
      <c r="K736" s="90"/>
      <c r="L736" s="90"/>
    </row>
    <row r="737" spans="5:12" ht="15.75" customHeight="1">
      <c r="E737" s="86"/>
      <c r="F737" s="86"/>
      <c r="G737" s="87"/>
      <c r="K737" s="90"/>
      <c r="L737" s="90"/>
    </row>
    <row r="738" spans="5:12" ht="15.75" customHeight="1">
      <c r="E738" s="86"/>
      <c r="F738" s="86"/>
      <c r="G738" s="87"/>
      <c r="K738" s="90"/>
      <c r="L738" s="90"/>
    </row>
    <row r="739" spans="5:12" ht="15.75" customHeight="1">
      <c r="E739" s="86"/>
      <c r="F739" s="86"/>
      <c r="G739" s="87"/>
      <c r="K739" s="90"/>
      <c r="L739" s="90"/>
    </row>
    <row r="740" spans="5:12" ht="15.75" customHeight="1">
      <c r="E740" s="86"/>
      <c r="F740" s="86"/>
      <c r="G740" s="87"/>
      <c r="K740" s="90"/>
      <c r="L740" s="90"/>
    </row>
    <row r="741" spans="5:12" ht="15.75" customHeight="1">
      <c r="E741" s="86"/>
      <c r="F741" s="86"/>
      <c r="G741" s="87"/>
      <c r="K741" s="90"/>
      <c r="L741" s="90"/>
    </row>
    <row r="742" spans="5:12" ht="15.75" customHeight="1">
      <c r="E742" s="86"/>
      <c r="F742" s="86"/>
      <c r="G742" s="87"/>
      <c r="K742" s="90"/>
      <c r="L742" s="90"/>
    </row>
    <row r="743" spans="5:12" ht="15.75" customHeight="1">
      <c r="E743" s="86"/>
      <c r="F743" s="86"/>
      <c r="G743" s="87"/>
      <c r="K743" s="90"/>
      <c r="L743" s="90"/>
    </row>
    <row r="744" spans="5:12" ht="15.75" customHeight="1">
      <c r="E744" s="86"/>
      <c r="F744" s="86"/>
      <c r="G744" s="87"/>
      <c r="K744" s="90"/>
      <c r="L744" s="90"/>
    </row>
    <row r="745" spans="5:12" ht="15.75" customHeight="1">
      <c r="E745" s="86"/>
      <c r="F745" s="86"/>
      <c r="G745" s="87"/>
      <c r="K745" s="90"/>
      <c r="L745" s="90"/>
    </row>
    <row r="746" spans="5:12" ht="15.75" customHeight="1">
      <c r="E746" s="86"/>
      <c r="F746" s="86"/>
      <c r="G746" s="87"/>
      <c r="K746" s="90"/>
      <c r="L746" s="90"/>
    </row>
    <row r="747" spans="5:12" ht="15.75" customHeight="1">
      <c r="E747" s="86"/>
      <c r="F747" s="86"/>
      <c r="G747" s="87"/>
      <c r="K747" s="90"/>
      <c r="L747" s="90"/>
    </row>
    <row r="748" spans="5:12" ht="15.75" customHeight="1">
      <c r="E748" s="86"/>
      <c r="F748" s="86"/>
      <c r="G748" s="87"/>
      <c r="K748" s="90"/>
      <c r="L748" s="90"/>
    </row>
    <row r="749" spans="5:12" ht="15.75" customHeight="1">
      <c r="E749" s="86"/>
      <c r="F749" s="86"/>
      <c r="G749" s="87"/>
      <c r="K749" s="90"/>
      <c r="L749" s="90"/>
    </row>
    <row r="750" spans="5:12" ht="15.75" customHeight="1">
      <c r="E750" s="86"/>
      <c r="F750" s="86"/>
      <c r="G750" s="87"/>
      <c r="K750" s="90"/>
      <c r="L750" s="90"/>
    </row>
    <row r="751" spans="5:12" ht="15.75" customHeight="1">
      <c r="E751" s="86"/>
      <c r="F751" s="86"/>
      <c r="G751" s="87"/>
      <c r="K751" s="90"/>
      <c r="L751" s="90"/>
    </row>
    <row r="752" spans="5:12" ht="15.75" customHeight="1">
      <c r="E752" s="86"/>
      <c r="F752" s="86"/>
      <c r="G752" s="87"/>
      <c r="K752" s="90"/>
      <c r="L752" s="90"/>
    </row>
    <row r="753" spans="5:12" ht="15.75" customHeight="1">
      <c r="E753" s="86"/>
      <c r="F753" s="86"/>
      <c r="G753" s="87"/>
      <c r="K753" s="90"/>
      <c r="L753" s="90"/>
    </row>
    <row r="754" spans="5:12" ht="15.75" customHeight="1">
      <c r="E754" s="86"/>
      <c r="F754" s="86"/>
      <c r="G754" s="87"/>
      <c r="K754" s="90"/>
      <c r="L754" s="90"/>
    </row>
    <row r="755" spans="5:12" ht="15.75" customHeight="1">
      <c r="E755" s="86"/>
      <c r="F755" s="86"/>
      <c r="G755" s="87"/>
      <c r="K755" s="90"/>
      <c r="L755" s="90"/>
    </row>
    <row r="756" spans="5:12" ht="15.75" customHeight="1">
      <c r="E756" s="86"/>
      <c r="F756" s="86"/>
      <c r="G756" s="87"/>
      <c r="K756" s="90"/>
      <c r="L756" s="90"/>
    </row>
    <row r="757" spans="5:12" ht="15.75" customHeight="1">
      <c r="E757" s="86"/>
      <c r="F757" s="86"/>
      <c r="G757" s="87"/>
      <c r="K757" s="90"/>
      <c r="L757" s="90"/>
    </row>
    <row r="758" spans="5:12" ht="15.75" customHeight="1">
      <c r="E758" s="86"/>
      <c r="F758" s="86"/>
      <c r="G758" s="87"/>
      <c r="K758" s="90"/>
      <c r="L758" s="90"/>
    </row>
    <row r="759" spans="5:12" ht="15.75" customHeight="1">
      <c r="E759" s="86"/>
      <c r="F759" s="86"/>
      <c r="G759" s="87"/>
      <c r="K759" s="90"/>
      <c r="L759" s="90"/>
    </row>
    <row r="760" spans="5:12" ht="15.75" customHeight="1">
      <c r="E760" s="86"/>
      <c r="F760" s="86"/>
      <c r="G760" s="87"/>
      <c r="K760" s="90"/>
      <c r="L760" s="90"/>
    </row>
    <row r="761" spans="5:12" ht="15.75" customHeight="1">
      <c r="E761" s="86"/>
      <c r="F761" s="86"/>
      <c r="G761" s="87"/>
      <c r="K761" s="90"/>
      <c r="L761" s="90"/>
    </row>
    <row r="762" spans="5:12" ht="15.75" customHeight="1">
      <c r="E762" s="86"/>
      <c r="F762" s="86"/>
      <c r="G762" s="87"/>
      <c r="K762" s="90"/>
      <c r="L762" s="90"/>
    </row>
    <row r="763" spans="5:12" ht="15.75" customHeight="1">
      <c r="E763" s="86"/>
      <c r="F763" s="86"/>
      <c r="G763" s="87"/>
      <c r="K763" s="90"/>
      <c r="L763" s="90"/>
    </row>
    <row r="764" spans="5:12" ht="15.75" customHeight="1">
      <c r="E764" s="86"/>
      <c r="F764" s="86"/>
      <c r="G764" s="87"/>
      <c r="K764" s="90"/>
      <c r="L764" s="90"/>
    </row>
    <row r="765" spans="5:12" ht="15.75" customHeight="1">
      <c r="E765" s="86"/>
      <c r="F765" s="86"/>
      <c r="G765" s="87"/>
      <c r="K765" s="90"/>
      <c r="L765" s="90"/>
    </row>
    <row r="766" spans="5:12" ht="15.75" customHeight="1">
      <c r="E766" s="86"/>
      <c r="F766" s="86"/>
      <c r="G766" s="87"/>
      <c r="K766" s="90"/>
      <c r="L766" s="90"/>
    </row>
    <row r="767" spans="5:12" ht="15.75" customHeight="1">
      <c r="E767" s="86"/>
      <c r="F767" s="86"/>
      <c r="G767" s="87"/>
      <c r="K767" s="90"/>
      <c r="L767" s="90"/>
    </row>
    <row r="768" spans="5:12" ht="15.75" customHeight="1">
      <c r="E768" s="86"/>
      <c r="F768" s="86"/>
      <c r="G768" s="87"/>
      <c r="K768" s="90"/>
      <c r="L768" s="90"/>
    </row>
    <row r="769" spans="5:12" ht="15.75" customHeight="1">
      <c r="E769" s="86"/>
      <c r="F769" s="86"/>
      <c r="G769" s="87"/>
      <c r="K769" s="90"/>
      <c r="L769" s="90"/>
    </row>
    <row r="770" spans="5:12" ht="15.75" customHeight="1">
      <c r="E770" s="86"/>
      <c r="F770" s="86"/>
      <c r="G770" s="87"/>
      <c r="K770" s="90"/>
      <c r="L770" s="90"/>
    </row>
    <row r="771" spans="5:12" ht="15.75" customHeight="1">
      <c r="E771" s="86"/>
      <c r="F771" s="86"/>
      <c r="G771" s="87"/>
      <c r="K771" s="90"/>
      <c r="L771" s="90"/>
    </row>
    <row r="772" spans="5:12" ht="15.75" customHeight="1">
      <c r="E772" s="86"/>
      <c r="F772" s="86"/>
      <c r="G772" s="87"/>
      <c r="K772" s="90"/>
      <c r="L772" s="90"/>
    </row>
    <row r="773" spans="5:12" ht="15.75" customHeight="1">
      <c r="E773" s="86"/>
      <c r="F773" s="86"/>
      <c r="G773" s="87"/>
      <c r="K773" s="90"/>
      <c r="L773" s="90"/>
    </row>
    <row r="774" spans="5:12" ht="15.75" customHeight="1">
      <c r="E774" s="86"/>
      <c r="F774" s="86"/>
      <c r="G774" s="87"/>
      <c r="K774" s="90"/>
      <c r="L774" s="90"/>
    </row>
    <row r="775" spans="5:12" ht="15.75" customHeight="1">
      <c r="E775" s="86"/>
      <c r="F775" s="86"/>
      <c r="G775" s="87"/>
      <c r="K775" s="90"/>
      <c r="L775" s="90"/>
    </row>
    <row r="776" spans="5:12" ht="15.75" customHeight="1">
      <c r="E776" s="86"/>
      <c r="F776" s="86"/>
      <c r="G776" s="87"/>
      <c r="K776" s="90"/>
      <c r="L776" s="90"/>
    </row>
    <row r="777" spans="5:12" ht="15.75" customHeight="1">
      <c r="E777" s="86"/>
      <c r="F777" s="86"/>
      <c r="G777" s="87"/>
      <c r="K777" s="90"/>
      <c r="L777" s="90"/>
    </row>
    <row r="778" spans="5:12" ht="15.75" customHeight="1">
      <c r="E778" s="86"/>
      <c r="F778" s="86"/>
      <c r="G778" s="87"/>
      <c r="K778" s="90"/>
      <c r="L778" s="90"/>
    </row>
    <row r="779" spans="5:12" ht="15.75" customHeight="1">
      <c r="E779" s="86"/>
      <c r="F779" s="86"/>
      <c r="G779" s="87"/>
      <c r="K779" s="90"/>
      <c r="L779" s="90"/>
    </row>
    <row r="780" spans="5:12" ht="15.75" customHeight="1">
      <c r="E780" s="86"/>
      <c r="F780" s="86"/>
      <c r="G780" s="87"/>
      <c r="K780" s="90"/>
      <c r="L780" s="90"/>
    </row>
    <row r="781" spans="5:12" ht="15.75" customHeight="1">
      <c r="E781" s="86"/>
      <c r="F781" s="86"/>
      <c r="G781" s="87"/>
      <c r="K781" s="90"/>
      <c r="L781" s="90"/>
    </row>
    <row r="782" spans="5:12" ht="15.75" customHeight="1">
      <c r="E782" s="86"/>
      <c r="F782" s="86"/>
      <c r="G782" s="87"/>
      <c r="K782" s="90"/>
      <c r="L782" s="90"/>
    </row>
    <row r="783" spans="5:12" ht="15.75" customHeight="1">
      <c r="E783" s="86"/>
      <c r="F783" s="86"/>
      <c r="G783" s="87"/>
      <c r="K783" s="90"/>
      <c r="L783" s="90"/>
    </row>
    <row r="784" spans="5:12" ht="15.75" customHeight="1">
      <c r="E784" s="86"/>
      <c r="F784" s="86"/>
      <c r="G784" s="87"/>
      <c r="K784" s="90"/>
      <c r="L784" s="90"/>
    </row>
    <row r="785" spans="5:12" ht="15.75" customHeight="1">
      <c r="E785" s="86"/>
      <c r="F785" s="86"/>
      <c r="G785" s="87"/>
      <c r="K785" s="90"/>
      <c r="L785" s="90"/>
    </row>
    <row r="786" spans="5:12" ht="15.75" customHeight="1">
      <c r="E786" s="86"/>
      <c r="F786" s="86"/>
      <c r="G786" s="87"/>
      <c r="K786" s="90"/>
      <c r="L786" s="90"/>
    </row>
    <row r="787" spans="5:12" ht="15.75" customHeight="1">
      <c r="E787" s="86"/>
      <c r="F787" s="86"/>
      <c r="G787" s="87"/>
      <c r="K787" s="90"/>
      <c r="L787" s="90"/>
    </row>
    <row r="788" spans="5:12" ht="15.75" customHeight="1">
      <c r="E788" s="86"/>
      <c r="F788" s="86"/>
      <c r="G788" s="87"/>
      <c r="K788" s="90"/>
      <c r="L788" s="90"/>
    </row>
    <row r="789" spans="5:12" ht="15.75" customHeight="1">
      <c r="E789" s="86"/>
      <c r="F789" s="86"/>
      <c r="G789" s="87"/>
      <c r="K789" s="90"/>
      <c r="L789" s="90"/>
    </row>
    <row r="790" spans="5:12" ht="15.75" customHeight="1">
      <c r="E790" s="86"/>
      <c r="F790" s="86"/>
      <c r="G790" s="87"/>
      <c r="K790" s="90"/>
      <c r="L790" s="90"/>
    </row>
    <row r="791" spans="5:12" ht="15.75" customHeight="1">
      <c r="E791" s="86"/>
      <c r="F791" s="86"/>
      <c r="G791" s="87"/>
      <c r="K791" s="90"/>
      <c r="L791" s="90"/>
    </row>
    <row r="792" spans="5:12" ht="15.75" customHeight="1">
      <c r="E792" s="86"/>
      <c r="F792" s="86"/>
      <c r="G792" s="87"/>
      <c r="K792" s="90"/>
      <c r="L792" s="90"/>
    </row>
    <row r="793" spans="5:12" ht="15.75" customHeight="1">
      <c r="E793" s="86"/>
      <c r="F793" s="86"/>
      <c r="G793" s="87"/>
      <c r="K793" s="90"/>
      <c r="L793" s="90"/>
    </row>
    <row r="794" spans="5:12" ht="15.75" customHeight="1">
      <c r="E794" s="86"/>
      <c r="F794" s="86"/>
      <c r="G794" s="87"/>
      <c r="K794" s="90"/>
      <c r="L794" s="90"/>
    </row>
    <row r="795" spans="5:12" ht="15.75" customHeight="1">
      <c r="E795" s="86"/>
      <c r="F795" s="86"/>
      <c r="G795" s="87"/>
      <c r="K795" s="90"/>
      <c r="L795" s="90"/>
    </row>
    <row r="796" spans="5:12" ht="15.75" customHeight="1">
      <c r="E796" s="86"/>
      <c r="F796" s="86"/>
      <c r="G796" s="87"/>
      <c r="K796" s="90"/>
      <c r="L796" s="90"/>
    </row>
    <row r="797" spans="5:12" ht="15.75" customHeight="1">
      <c r="E797" s="86"/>
      <c r="F797" s="86"/>
      <c r="G797" s="87"/>
      <c r="K797" s="90"/>
      <c r="L797" s="90"/>
    </row>
    <row r="798" spans="5:12" ht="15.75" customHeight="1">
      <c r="E798" s="86"/>
      <c r="F798" s="86"/>
      <c r="G798" s="87"/>
      <c r="K798" s="90"/>
      <c r="L798" s="90"/>
    </row>
    <row r="799" spans="5:12" ht="15.75" customHeight="1">
      <c r="E799" s="86"/>
      <c r="F799" s="86"/>
      <c r="G799" s="87"/>
      <c r="K799" s="90"/>
      <c r="L799" s="90"/>
    </row>
    <row r="800" spans="5:12" ht="15.75" customHeight="1">
      <c r="E800" s="86"/>
      <c r="F800" s="86"/>
      <c r="G800" s="87"/>
      <c r="K800" s="90"/>
      <c r="L800" s="90"/>
    </row>
    <row r="801" spans="5:12" ht="15.75" customHeight="1">
      <c r="E801" s="86"/>
      <c r="F801" s="86"/>
      <c r="G801" s="87"/>
      <c r="K801" s="90"/>
      <c r="L801" s="90"/>
    </row>
    <row r="802" spans="5:12" ht="15.75" customHeight="1">
      <c r="E802" s="86"/>
      <c r="F802" s="86"/>
      <c r="G802" s="87"/>
      <c r="K802" s="90"/>
      <c r="L802" s="90"/>
    </row>
    <row r="803" spans="5:12" ht="15.75" customHeight="1">
      <c r="E803" s="86"/>
      <c r="F803" s="86"/>
      <c r="G803" s="87"/>
      <c r="K803" s="90"/>
      <c r="L803" s="90"/>
    </row>
    <row r="804" spans="5:12" ht="15.75" customHeight="1">
      <c r="E804" s="86"/>
      <c r="F804" s="86"/>
      <c r="G804" s="87"/>
      <c r="K804" s="90"/>
      <c r="L804" s="90"/>
    </row>
    <row r="805" spans="5:12" ht="15.75" customHeight="1">
      <c r="E805" s="86"/>
      <c r="F805" s="86"/>
      <c r="G805" s="87"/>
      <c r="K805" s="90"/>
      <c r="L805" s="90"/>
    </row>
    <row r="806" spans="5:12" ht="15.75" customHeight="1">
      <c r="E806" s="86"/>
      <c r="F806" s="86"/>
      <c r="G806" s="87"/>
      <c r="K806" s="90"/>
      <c r="L806" s="90"/>
    </row>
    <row r="807" spans="5:12" ht="15.75" customHeight="1">
      <c r="E807" s="86"/>
      <c r="F807" s="86"/>
      <c r="G807" s="87"/>
      <c r="K807" s="90"/>
      <c r="L807" s="90"/>
    </row>
    <row r="808" spans="5:12" ht="15.75" customHeight="1">
      <c r="E808" s="86"/>
      <c r="F808" s="86"/>
      <c r="G808" s="87"/>
      <c r="K808" s="90"/>
      <c r="L808" s="90"/>
    </row>
    <row r="809" spans="5:12" ht="15.75" customHeight="1">
      <c r="E809" s="86"/>
      <c r="F809" s="86"/>
      <c r="G809" s="87"/>
      <c r="K809" s="90"/>
      <c r="L809" s="90"/>
    </row>
    <row r="810" spans="5:12" ht="15.75" customHeight="1">
      <c r="E810" s="86"/>
      <c r="F810" s="86"/>
      <c r="G810" s="87"/>
      <c r="K810" s="90"/>
      <c r="L810" s="90"/>
    </row>
    <row r="811" spans="5:12" ht="15.75" customHeight="1">
      <c r="E811" s="86"/>
      <c r="F811" s="86"/>
      <c r="G811" s="87"/>
      <c r="K811" s="90"/>
      <c r="L811" s="90"/>
    </row>
    <row r="812" spans="5:12" ht="15.75" customHeight="1">
      <c r="E812" s="86"/>
      <c r="F812" s="86"/>
      <c r="G812" s="87"/>
      <c r="K812" s="90"/>
      <c r="L812" s="90"/>
    </row>
    <row r="813" spans="5:12" ht="15.75" customHeight="1">
      <c r="E813" s="86"/>
      <c r="F813" s="86"/>
      <c r="G813" s="87"/>
      <c r="K813" s="90"/>
      <c r="L813" s="90"/>
    </row>
    <row r="814" spans="5:12" ht="15.75" customHeight="1">
      <c r="E814" s="86"/>
      <c r="F814" s="86"/>
      <c r="G814" s="87"/>
      <c r="K814" s="90"/>
      <c r="L814" s="90"/>
    </row>
    <row r="815" spans="5:12" ht="15.75" customHeight="1">
      <c r="E815" s="86"/>
      <c r="F815" s="86"/>
      <c r="G815" s="87"/>
      <c r="K815" s="90"/>
      <c r="L815" s="90"/>
    </row>
    <row r="816" spans="5:12" ht="15.75" customHeight="1">
      <c r="E816" s="86"/>
      <c r="F816" s="86"/>
      <c r="G816" s="87"/>
      <c r="K816" s="90"/>
      <c r="L816" s="90"/>
    </row>
    <row r="817" spans="5:12" ht="15.75" customHeight="1">
      <c r="E817" s="86"/>
      <c r="F817" s="86"/>
      <c r="G817" s="87"/>
      <c r="K817" s="90"/>
      <c r="L817" s="90"/>
    </row>
    <row r="818" spans="5:12" ht="15.75" customHeight="1">
      <c r="E818" s="86"/>
      <c r="F818" s="86"/>
      <c r="G818" s="87"/>
      <c r="K818" s="90"/>
      <c r="L818" s="90"/>
    </row>
    <row r="819" spans="5:12" ht="15.75" customHeight="1">
      <c r="E819" s="86"/>
      <c r="F819" s="86"/>
      <c r="G819" s="87"/>
      <c r="K819" s="90"/>
      <c r="L819" s="90"/>
    </row>
    <row r="820" spans="5:12" ht="15.75" customHeight="1">
      <c r="E820" s="86"/>
      <c r="F820" s="86"/>
      <c r="G820" s="87"/>
      <c r="K820" s="90"/>
      <c r="L820" s="90"/>
    </row>
    <row r="821" spans="5:12" ht="15.75" customHeight="1">
      <c r="E821" s="86"/>
      <c r="F821" s="86"/>
      <c r="G821" s="87"/>
      <c r="K821" s="90"/>
      <c r="L821" s="90"/>
    </row>
    <row r="822" spans="5:12" ht="15.75" customHeight="1">
      <c r="E822" s="86"/>
      <c r="F822" s="86"/>
      <c r="G822" s="87"/>
      <c r="K822" s="90"/>
      <c r="L822" s="90"/>
    </row>
    <row r="823" spans="5:12" ht="15.75" customHeight="1">
      <c r="E823" s="86"/>
      <c r="F823" s="86"/>
      <c r="G823" s="87"/>
      <c r="K823" s="90"/>
      <c r="L823" s="90"/>
    </row>
    <row r="824" spans="5:12" ht="15.75" customHeight="1">
      <c r="E824" s="86"/>
      <c r="F824" s="86"/>
      <c r="G824" s="87"/>
      <c r="K824" s="90"/>
      <c r="L824" s="90"/>
    </row>
    <row r="825" spans="5:12" ht="15.75" customHeight="1">
      <c r="E825" s="86"/>
      <c r="F825" s="86"/>
      <c r="G825" s="87"/>
      <c r="K825" s="90"/>
      <c r="L825" s="90"/>
    </row>
    <row r="826" spans="5:12" ht="15.75" customHeight="1">
      <c r="E826" s="86"/>
      <c r="F826" s="86"/>
      <c r="G826" s="87"/>
      <c r="K826" s="90"/>
      <c r="L826" s="90"/>
    </row>
    <row r="827" spans="5:12" ht="15.75" customHeight="1">
      <c r="E827" s="86"/>
      <c r="F827" s="86"/>
      <c r="G827" s="87"/>
      <c r="K827" s="90"/>
      <c r="L827" s="90"/>
    </row>
    <row r="828" spans="5:12" ht="15.75" customHeight="1">
      <c r="E828" s="86"/>
      <c r="F828" s="86"/>
      <c r="G828" s="87"/>
      <c r="K828" s="90"/>
      <c r="L828" s="90"/>
    </row>
    <row r="829" spans="5:12" ht="15.75" customHeight="1">
      <c r="E829" s="86"/>
      <c r="F829" s="86"/>
      <c r="G829" s="87"/>
      <c r="K829" s="90"/>
      <c r="L829" s="90"/>
    </row>
    <row r="830" spans="5:12" ht="15.75" customHeight="1">
      <c r="E830" s="86"/>
      <c r="F830" s="86"/>
      <c r="G830" s="87"/>
      <c r="K830" s="90"/>
      <c r="L830" s="90"/>
    </row>
    <row r="831" spans="5:12" ht="15.75" customHeight="1">
      <c r="E831" s="86"/>
      <c r="F831" s="86"/>
      <c r="G831" s="87"/>
      <c r="K831" s="90"/>
      <c r="L831" s="90"/>
    </row>
    <row r="832" spans="5:12" ht="15.75" customHeight="1">
      <c r="E832" s="86"/>
      <c r="F832" s="86"/>
      <c r="G832" s="87"/>
      <c r="K832" s="90"/>
      <c r="L832" s="90"/>
    </row>
    <row r="833" spans="5:12" ht="15.75" customHeight="1">
      <c r="E833" s="86"/>
      <c r="F833" s="86"/>
      <c r="G833" s="87"/>
      <c r="K833" s="90"/>
      <c r="L833" s="90"/>
    </row>
    <row r="834" spans="5:12" ht="15.75" customHeight="1">
      <c r="E834" s="86"/>
      <c r="F834" s="86"/>
      <c r="G834" s="87"/>
      <c r="K834" s="90"/>
      <c r="L834" s="90"/>
    </row>
    <row r="835" spans="5:12" ht="15.75" customHeight="1">
      <c r="E835" s="86"/>
      <c r="F835" s="86"/>
      <c r="G835" s="87"/>
      <c r="K835" s="90"/>
      <c r="L835" s="90"/>
    </row>
    <row r="836" spans="5:12" ht="15.75" customHeight="1">
      <c r="E836" s="86"/>
      <c r="F836" s="86"/>
      <c r="G836" s="87"/>
      <c r="K836" s="90"/>
      <c r="L836" s="90"/>
    </row>
    <row r="837" spans="5:12" ht="15.75" customHeight="1">
      <c r="E837" s="86"/>
      <c r="F837" s="86"/>
      <c r="G837" s="87"/>
      <c r="K837" s="90"/>
      <c r="L837" s="90"/>
    </row>
    <row r="838" spans="5:12" ht="15.75" customHeight="1">
      <c r="E838" s="86"/>
      <c r="F838" s="86"/>
      <c r="G838" s="87"/>
      <c r="K838" s="90"/>
      <c r="L838" s="90"/>
    </row>
    <row r="839" spans="5:12" ht="15.75" customHeight="1">
      <c r="E839" s="86"/>
      <c r="F839" s="86"/>
      <c r="G839" s="87"/>
      <c r="K839" s="90"/>
      <c r="L839" s="90"/>
    </row>
    <row r="840" spans="5:12" ht="15.75" customHeight="1">
      <c r="E840" s="86"/>
      <c r="F840" s="86"/>
      <c r="G840" s="87"/>
      <c r="K840" s="90"/>
      <c r="L840" s="90"/>
    </row>
    <row r="841" spans="5:12" ht="15.75" customHeight="1">
      <c r="E841" s="86"/>
      <c r="F841" s="86"/>
      <c r="G841" s="87"/>
      <c r="K841" s="90"/>
      <c r="L841" s="90"/>
    </row>
    <row r="842" spans="5:12" ht="15.75" customHeight="1">
      <c r="E842" s="86"/>
      <c r="F842" s="86"/>
      <c r="G842" s="87"/>
      <c r="K842" s="90"/>
      <c r="L842" s="90"/>
    </row>
    <row r="843" spans="5:12" ht="15.75" customHeight="1">
      <c r="E843" s="86"/>
      <c r="F843" s="86"/>
      <c r="G843" s="87"/>
      <c r="K843" s="90"/>
      <c r="L843" s="90"/>
    </row>
    <row r="844" spans="5:12" ht="15.75" customHeight="1">
      <c r="E844" s="86"/>
      <c r="F844" s="86"/>
      <c r="G844" s="87"/>
      <c r="K844" s="90"/>
      <c r="L844" s="90"/>
    </row>
    <row r="845" spans="5:12" ht="15.75" customHeight="1">
      <c r="E845" s="86"/>
      <c r="F845" s="86"/>
      <c r="G845" s="87"/>
      <c r="K845" s="90"/>
      <c r="L845" s="90"/>
    </row>
    <row r="846" spans="5:12" ht="15.75" customHeight="1">
      <c r="E846" s="86"/>
      <c r="F846" s="86"/>
      <c r="G846" s="87"/>
      <c r="K846" s="90"/>
      <c r="L846" s="90"/>
    </row>
    <row r="847" spans="5:12" ht="15.75" customHeight="1">
      <c r="E847" s="86"/>
      <c r="F847" s="86"/>
      <c r="G847" s="87"/>
      <c r="K847" s="90"/>
      <c r="L847" s="90"/>
    </row>
    <row r="848" spans="5:12" ht="15.75" customHeight="1">
      <c r="E848" s="86"/>
      <c r="F848" s="86"/>
      <c r="G848" s="87"/>
      <c r="K848" s="90"/>
      <c r="L848" s="90"/>
    </row>
    <row r="849" spans="5:12" ht="15.75" customHeight="1">
      <c r="E849" s="86"/>
      <c r="F849" s="86"/>
      <c r="G849" s="87"/>
      <c r="K849" s="90"/>
      <c r="L849" s="90"/>
    </row>
    <row r="850" spans="5:12" ht="15.75" customHeight="1">
      <c r="E850" s="86"/>
      <c r="F850" s="86"/>
      <c r="G850" s="87"/>
      <c r="K850" s="90"/>
      <c r="L850" s="90"/>
    </row>
    <row r="851" spans="5:12" ht="15.75" customHeight="1">
      <c r="E851" s="86"/>
      <c r="F851" s="86"/>
      <c r="G851" s="87"/>
      <c r="K851" s="90"/>
      <c r="L851" s="90"/>
    </row>
    <row r="852" spans="5:12" ht="15.75" customHeight="1">
      <c r="E852" s="86"/>
      <c r="F852" s="86"/>
      <c r="G852" s="87"/>
      <c r="K852" s="90"/>
      <c r="L852" s="90"/>
    </row>
    <row r="853" spans="5:12" ht="15.75" customHeight="1">
      <c r="E853" s="86"/>
      <c r="F853" s="86"/>
      <c r="G853" s="87"/>
      <c r="K853" s="90"/>
      <c r="L853" s="90"/>
    </row>
    <row r="854" spans="5:12" ht="15.75" customHeight="1">
      <c r="E854" s="86"/>
      <c r="F854" s="86"/>
      <c r="G854" s="87"/>
      <c r="K854" s="90"/>
      <c r="L854" s="90"/>
    </row>
    <row r="855" spans="5:12" ht="15.75" customHeight="1">
      <c r="E855" s="86"/>
      <c r="F855" s="86"/>
      <c r="G855" s="87"/>
      <c r="K855" s="90"/>
      <c r="L855" s="90"/>
    </row>
    <row r="856" spans="5:12" ht="15.75" customHeight="1">
      <c r="E856" s="86"/>
      <c r="F856" s="86"/>
      <c r="G856" s="87"/>
      <c r="K856" s="90"/>
      <c r="L856" s="90"/>
    </row>
    <row r="857" spans="5:12" ht="15.75" customHeight="1">
      <c r="E857" s="86"/>
      <c r="F857" s="86"/>
      <c r="G857" s="87"/>
      <c r="K857" s="90"/>
      <c r="L857" s="90"/>
    </row>
    <row r="858" spans="5:12" ht="15.75" customHeight="1">
      <c r="E858" s="86"/>
      <c r="F858" s="86"/>
      <c r="G858" s="87"/>
      <c r="K858" s="90"/>
      <c r="L858" s="90"/>
    </row>
    <row r="859" spans="5:12" ht="15.75" customHeight="1">
      <c r="E859" s="86"/>
      <c r="F859" s="86"/>
      <c r="G859" s="87"/>
      <c r="K859" s="90"/>
      <c r="L859" s="90"/>
    </row>
    <row r="860" spans="5:12" ht="15.75" customHeight="1">
      <c r="E860" s="86"/>
      <c r="F860" s="86"/>
      <c r="G860" s="87"/>
      <c r="K860" s="90"/>
      <c r="L860" s="90"/>
    </row>
    <row r="861" spans="5:12" ht="15.75" customHeight="1">
      <c r="E861" s="86"/>
      <c r="F861" s="86"/>
      <c r="G861" s="87"/>
      <c r="K861" s="90"/>
      <c r="L861" s="90"/>
    </row>
    <row r="862" spans="5:12" ht="15.75" customHeight="1">
      <c r="E862" s="86"/>
      <c r="F862" s="86"/>
      <c r="G862" s="87"/>
      <c r="K862" s="90"/>
      <c r="L862" s="90"/>
    </row>
    <row r="863" spans="5:12" ht="15.75" customHeight="1">
      <c r="E863" s="86"/>
      <c r="F863" s="86"/>
      <c r="G863" s="87"/>
      <c r="K863" s="90"/>
      <c r="L863" s="90"/>
    </row>
    <row r="864" spans="5:12" ht="15.75" customHeight="1">
      <c r="E864" s="86"/>
      <c r="F864" s="86"/>
      <c r="G864" s="87"/>
      <c r="K864" s="90"/>
      <c r="L864" s="90"/>
    </row>
    <row r="865" spans="5:12" ht="15.75" customHeight="1">
      <c r="E865" s="86"/>
      <c r="F865" s="86"/>
      <c r="G865" s="87"/>
      <c r="K865" s="90"/>
      <c r="L865" s="90"/>
    </row>
    <row r="866" spans="5:12" ht="15.75" customHeight="1">
      <c r="E866" s="86"/>
      <c r="F866" s="86"/>
      <c r="G866" s="87"/>
      <c r="K866" s="90"/>
      <c r="L866" s="90"/>
    </row>
    <row r="867" spans="5:12" ht="15.75" customHeight="1">
      <c r="E867" s="86"/>
      <c r="F867" s="86"/>
      <c r="G867" s="87"/>
      <c r="K867" s="90"/>
      <c r="L867" s="90"/>
    </row>
    <row r="868" spans="5:12" ht="15.75" customHeight="1">
      <c r="E868" s="86"/>
      <c r="F868" s="86"/>
      <c r="G868" s="87"/>
      <c r="K868" s="90"/>
      <c r="L868" s="90"/>
    </row>
    <row r="869" spans="5:12" ht="15.75" customHeight="1">
      <c r="E869" s="86"/>
      <c r="F869" s="86"/>
      <c r="G869" s="87"/>
      <c r="K869" s="90"/>
      <c r="L869" s="90"/>
    </row>
    <row r="870" spans="5:12" ht="15.75" customHeight="1">
      <c r="E870" s="86"/>
      <c r="F870" s="86"/>
      <c r="G870" s="87"/>
      <c r="K870" s="90"/>
      <c r="L870" s="90"/>
    </row>
    <row r="871" spans="5:12" ht="15.75" customHeight="1">
      <c r="E871" s="86"/>
      <c r="F871" s="86"/>
      <c r="G871" s="87"/>
      <c r="K871" s="90"/>
      <c r="L871" s="90"/>
    </row>
    <row r="872" spans="5:12" ht="15.75" customHeight="1">
      <c r="E872" s="86"/>
      <c r="F872" s="86"/>
      <c r="G872" s="87"/>
      <c r="K872" s="90"/>
      <c r="L872" s="90"/>
    </row>
    <row r="873" spans="5:12" ht="15.75" customHeight="1">
      <c r="E873" s="86"/>
      <c r="F873" s="86"/>
      <c r="G873" s="87"/>
      <c r="K873" s="90"/>
      <c r="L873" s="90"/>
    </row>
    <row r="874" spans="5:12" ht="15.75" customHeight="1">
      <c r="E874" s="86"/>
      <c r="F874" s="86"/>
      <c r="G874" s="87"/>
      <c r="K874" s="90"/>
      <c r="L874" s="90"/>
    </row>
    <row r="875" spans="5:12" ht="15.75" customHeight="1">
      <c r="E875" s="86"/>
      <c r="F875" s="86"/>
      <c r="G875" s="87"/>
      <c r="K875" s="90"/>
      <c r="L875" s="90"/>
    </row>
    <row r="876" spans="5:12" ht="15.75" customHeight="1">
      <c r="E876" s="86"/>
      <c r="F876" s="86"/>
      <c r="G876" s="87"/>
      <c r="K876" s="90"/>
      <c r="L876" s="90"/>
    </row>
    <row r="877" spans="5:12" ht="15.75" customHeight="1">
      <c r="E877" s="86"/>
      <c r="F877" s="86"/>
      <c r="G877" s="87"/>
      <c r="K877" s="90"/>
      <c r="L877" s="90"/>
    </row>
    <row r="878" spans="5:12" ht="15.75" customHeight="1">
      <c r="E878" s="86"/>
      <c r="F878" s="86"/>
      <c r="G878" s="87"/>
      <c r="K878" s="90"/>
      <c r="L878" s="90"/>
    </row>
    <row r="879" spans="5:12" ht="15.75" customHeight="1">
      <c r="E879" s="86"/>
      <c r="F879" s="86"/>
      <c r="G879" s="87"/>
      <c r="K879" s="90"/>
      <c r="L879" s="90"/>
    </row>
    <row r="880" spans="5:12" ht="15.75" customHeight="1">
      <c r="E880" s="86"/>
      <c r="F880" s="86"/>
      <c r="G880" s="87"/>
      <c r="K880" s="90"/>
      <c r="L880" s="90"/>
    </row>
    <row r="881" spans="5:12" ht="15.75" customHeight="1">
      <c r="E881" s="86"/>
      <c r="F881" s="86"/>
      <c r="G881" s="87"/>
      <c r="K881" s="90"/>
      <c r="L881" s="90"/>
    </row>
    <row r="882" spans="5:12" ht="15.75" customHeight="1">
      <c r="E882" s="86"/>
      <c r="F882" s="86"/>
      <c r="G882" s="87"/>
      <c r="K882" s="90"/>
      <c r="L882" s="90"/>
    </row>
    <row r="883" spans="5:12" ht="15.75" customHeight="1">
      <c r="E883" s="86"/>
      <c r="F883" s="86"/>
      <c r="G883" s="87"/>
      <c r="K883" s="90"/>
      <c r="L883" s="90"/>
    </row>
    <row r="884" spans="5:12" ht="15.75" customHeight="1">
      <c r="E884" s="86"/>
      <c r="F884" s="86"/>
      <c r="G884" s="87"/>
      <c r="K884" s="90"/>
      <c r="L884" s="90"/>
    </row>
    <row r="885" spans="5:12" ht="15.75" customHeight="1">
      <c r="E885" s="86"/>
      <c r="F885" s="86"/>
      <c r="G885" s="87"/>
      <c r="K885" s="90"/>
      <c r="L885" s="90"/>
    </row>
    <row r="886" spans="5:12" ht="15.75" customHeight="1">
      <c r="E886" s="86"/>
      <c r="F886" s="86"/>
      <c r="G886" s="87"/>
      <c r="K886" s="90"/>
      <c r="L886" s="90"/>
    </row>
    <row r="887" spans="5:12" ht="15.75" customHeight="1">
      <c r="E887" s="86"/>
      <c r="F887" s="86"/>
      <c r="G887" s="87"/>
      <c r="K887" s="90"/>
      <c r="L887" s="90"/>
    </row>
    <row r="888" spans="5:12" ht="15.75" customHeight="1">
      <c r="E888" s="86"/>
      <c r="F888" s="86"/>
      <c r="G888" s="87"/>
      <c r="K888" s="90"/>
      <c r="L888" s="90"/>
    </row>
    <row r="889" spans="5:12" ht="15.75" customHeight="1">
      <c r="E889" s="86"/>
      <c r="F889" s="86"/>
      <c r="G889" s="87"/>
      <c r="K889" s="90"/>
      <c r="L889" s="90"/>
    </row>
    <row r="890" spans="5:12" ht="15.75" customHeight="1">
      <c r="E890" s="86"/>
      <c r="F890" s="86"/>
      <c r="G890" s="87"/>
      <c r="K890" s="90"/>
      <c r="L890" s="90"/>
    </row>
    <row r="891" spans="5:12" ht="15.75" customHeight="1">
      <c r="E891" s="86"/>
      <c r="F891" s="86"/>
      <c r="G891" s="87"/>
      <c r="K891" s="90"/>
      <c r="L891" s="90"/>
    </row>
    <row r="892" spans="5:12" ht="15.75" customHeight="1">
      <c r="E892" s="86"/>
      <c r="F892" s="86"/>
      <c r="G892" s="87"/>
      <c r="K892" s="90"/>
      <c r="L892" s="90"/>
    </row>
    <row r="893" spans="5:12" ht="15.75" customHeight="1">
      <c r="E893" s="86"/>
      <c r="F893" s="86"/>
      <c r="G893" s="87"/>
      <c r="K893" s="90"/>
      <c r="L893" s="90"/>
    </row>
    <row r="894" spans="5:12" ht="15.75" customHeight="1">
      <c r="E894" s="86"/>
      <c r="F894" s="86"/>
      <c r="G894" s="87"/>
      <c r="K894" s="90"/>
      <c r="L894" s="90"/>
    </row>
    <row r="895" spans="5:12" ht="15.75" customHeight="1">
      <c r="E895" s="86"/>
      <c r="F895" s="86"/>
      <c r="G895" s="87"/>
      <c r="K895" s="90"/>
      <c r="L895" s="90"/>
    </row>
    <row r="896" spans="5:12" ht="15.75" customHeight="1">
      <c r="E896" s="86"/>
      <c r="F896" s="86"/>
      <c r="G896" s="87"/>
      <c r="K896" s="90"/>
      <c r="L896" s="90"/>
    </row>
    <row r="897" spans="5:12" ht="15.75" customHeight="1">
      <c r="E897" s="86"/>
      <c r="F897" s="86"/>
      <c r="G897" s="87"/>
      <c r="K897" s="90"/>
      <c r="L897" s="90"/>
    </row>
    <row r="898" spans="5:12" ht="15.75" customHeight="1">
      <c r="E898" s="86"/>
      <c r="F898" s="86"/>
      <c r="G898" s="87"/>
      <c r="K898" s="90"/>
      <c r="L898" s="90"/>
    </row>
    <row r="899" spans="5:12" ht="15.75" customHeight="1">
      <c r="E899" s="86"/>
      <c r="F899" s="86"/>
      <c r="G899" s="87"/>
      <c r="K899" s="90"/>
      <c r="L899" s="90"/>
    </row>
    <row r="900" spans="5:12" ht="15.75" customHeight="1">
      <c r="E900" s="86"/>
      <c r="F900" s="86"/>
      <c r="G900" s="87"/>
      <c r="K900" s="90"/>
      <c r="L900" s="90"/>
    </row>
    <row r="901" spans="5:12" ht="15.75" customHeight="1">
      <c r="E901" s="86"/>
      <c r="F901" s="86"/>
      <c r="G901" s="87"/>
      <c r="K901" s="90"/>
      <c r="L901" s="90"/>
    </row>
    <row r="902" spans="5:12" ht="15.75" customHeight="1">
      <c r="E902" s="86"/>
      <c r="F902" s="86"/>
      <c r="G902" s="87"/>
      <c r="K902" s="90"/>
      <c r="L902" s="90"/>
    </row>
    <row r="903" spans="5:12" ht="15.75" customHeight="1">
      <c r="E903" s="86"/>
      <c r="F903" s="86"/>
      <c r="G903" s="87"/>
      <c r="K903" s="90"/>
      <c r="L903" s="90"/>
    </row>
    <row r="904" spans="5:12" ht="15.75" customHeight="1">
      <c r="E904" s="86"/>
      <c r="F904" s="86"/>
      <c r="G904" s="87"/>
      <c r="K904" s="90"/>
      <c r="L904" s="90"/>
    </row>
    <row r="905" spans="5:12" ht="15.75" customHeight="1">
      <c r="E905" s="86"/>
      <c r="F905" s="86"/>
      <c r="G905" s="87"/>
      <c r="K905" s="90"/>
      <c r="L905" s="90"/>
    </row>
    <row r="906" spans="5:12" ht="15.75" customHeight="1">
      <c r="E906" s="86"/>
      <c r="F906" s="86"/>
      <c r="G906" s="87"/>
      <c r="K906" s="90"/>
      <c r="L906" s="90"/>
    </row>
    <row r="907" spans="5:12" ht="15.75" customHeight="1">
      <c r="E907" s="86"/>
      <c r="F907" s="86"/>
      <c r="G907" s="87"/>
      <c r="K907" s="90"/>
      <c r="L907" s="90"/>
    </row>
    <row r="908" spans="5:12" ht="15.75" customHeight="1">
      <c r="E908" s="86"/>
      <c r="F908" s="86"/>
      <c r="G908" s="87"/>
      <c r="K908" s="90"/>
      <c r="L908" s="90"/>
    </row>
    <row r="909" spans="5:12" ht="15.75" customHeight="1">
      <c r="E909" s="86"/>
      <c r="F909" s="86"/>
      <c r="G909" s="87"/>
      <c r="K909" s="90"/>
      <c r="L909" s="90"/>
    </row>
    <row r="910" spans="5:12" ht="15.75" customHeight="1">
      <c r="E910" s="86"/>
      <c r="F910" s="86"/>
      <c r="G910" s="87"/>
      <c r="K910" s="90"/>
      <c r="L910" s="90"/>
    </row>
    <row r="911" spans="5:12" ht="15.75" customHeight="1">
      <c r="E911" s="86"/>
      <c r="F911" s="86"/>
      <c r="G911" s="87"/>
      <c r="K911" s="90"/>
      <c r="L911" s="90"/>
    </row>
    <row r="912" spans="5:12" ht="15.75" customHeight="1">
      <c r="E912" s="86"/>
      <c r="F912" s="86"/>
      <c r="G912" s="87"/>
      <c r="K912" s="90"/>
      <c r="L912" s="90"/>
    </row>
    <row r="913" spans="5:12" ht="15.75" customHeight="1">
      <c r="E913" s="86"/>
      <c r="F913" s="86"/>
      <c r="G913" s="87"/>
      <c r="K913" s="90"/>
      <c r="L913" s="90"/>
    </row>
    <row r="914" spans="5:12" ht="15.75" customHeight="1">
      <c r="E914" s="86"/>
      <c r="F914" s="86"/>
      <c r="G914" s="87"/>
      <c r="K914" s="90"/>
      <c r="L914" s="90"/>
    </row>
    <row r="915" spans="5:12" ht="15.75" customHeight="1">
      <c r="E915" s="86"/>
      <c r="F915" s="86"/>
      <c r="G915" s="87"/>
      <c r="K915" s="90"/>
      <c r="L915" s="90"/>
    </row>
    <row r="916" spans="5:12" ht="15.75" customHeight="1">
      <c r="E916" s="86"/>
      <c r="F916" s="86"/>
      <c r="G916" s="87"/>
      <c r="K916" s="90"/>
      <c r="L916" s="90"/>
    </row>
    <row r="917" spans="5:12" ht="15.75" customHeight="1">
      <c r="E917" s="86"/>
      <c r="F917" s="86"/>
      <c r="G917" s="87"/>
      <c r="K917" s="90"/>
      <c r="L917" s="90"/>
    </row>
    <row r="918" spans="5:12" ht="15.75" customHeight="1">
      <c r="E918" s="86"/>
      <c r="F918" s="86"/>
      <c r="G918" s="87"/>
      <c r="K918" s="90"/>
      <c r="L918" s="90"/>
    </row>
    <row r="919" spans="5:12" ht="15.75" customHeight="1">
      <c r="E919" s="86"/>
      <c r="F919" s="86"/>
      <c r="G919" s="87"/>
      <c r="K919" s="90"/>
      <c r="L919" s="90"/>
    </row>
    <row r="920" spans="5:12" ht="15.75" customHeight="1">
      <c r="E920" s="86"/>
      <c r="F920" s="86"/>
      <c r="G920" s="87"/>
      <c r="K920" s="90"/>
      <c r="L920" s="90"/>
    </row>
    <row r="921" spans="5:12" ht="15.75" customHeight="1">
      <c r="E921" s="86"/>
      <c r="F921" s="86"/>
      <c r="G921" s="87"/>
      <c r="K921" s="90"/>
      <c r="L921" s="90"/>
    </row>
    <row r="922" spans="5:12" ht="15.75" customHeight="1">
      <c r="E922" s="86"/>
      <c r="F922" s="86"/>
      <c r="G922" s="87"/>
      <c r="K922" s="90"/>
      <c r="L922" s="90"/>
    </row>
    <row r="923" spans="5:12" ht="15.75" customHeight="1">
      <c r="E923" s="86"/>
      <c r="F923" s="86"/>
      <c r="G923" s="87"/>
      <c r="K923" s="90"/>
      <c r="L923" s="90"/>
    </row>
    <row r="924" spans="5:12" ht="15.75" customHeight="1">
      <c r="E924" s="86"/>
      <c r="F924" s="86"/>
      <c r="G924" s="87"/>
      <c r="K924" s="90"/>
      <c r="L924" s="90"/>
    </row>
    <row r="925" spans="5:12" ht="15.75" customHeight="1">
      <c r="E925" s="86"/>
      <c r="F925" s="86"/>
      <c r="G925" s="87"/>
      <c r="K925" s="90"/>
      <c r="L925" s="90"/>
    </row>
    <row r="926" spans="5:12" ht="15.75" customHeight="1">
      <c r="E926" s="86"/>
      <c r="F926" s="86"/>
      <c r="G926" s="87"/>
      <c r="K926" s="90"/>
      <c r="L926" s="90"/>
    </row>
    <row r="927" spans="5:12" ht="15.75" customHeight="1">
      <c r="E927" s="86"/>
      <c r="F927" s="86"/>
      <c r="G927" s="87"/>
      <c r="K927" s="90"/>
      <c r="L927" s="90"/>
    </row>
    <row r="928" spans="5:12" ht="15.75" customHeight="1">
      <c r="E928" s="86"/>
      <c r="F928" s="86"/>
      <c r="G928" s="87"/>
      <c r="K928" s="90"/>
      <c r="L928" s="90"/>
    </row>
    <row r="929" spans="5:12" ht="15.75" customHeight="1">
      <c r="E929" s="86"/>
      <c r="F929" s="86"/>
      <c r="G929" s="87"/>
      <c r="K929" s="90"/>
      <c r="L929" s="90"/>
    </row>
    <row r="930" spans="5:12" ht="15.75" customHeight="1">
      <c r="E930" s="86"/>
      <c r="F930" s="86"/>
      <c r="G930" s="87"/>
      <c r="K930" s="90"/>
      <c r="L930" s="90"/>
    </row>
    <row r="931" spans="5:12" ht="15.75" customHeight="1">
      <c r="E931" s="86"/>
      <c r="F931" s="86"/>
      <c r="G931" s="87"/>
      <c r="K931" s="90"/>
      <c r="L931" s="90"/>
    </row>
    <row r="932" spans="5:12" ht="15.75" customHeight="1">
      <c r="E932" s="86"/>
      <c r="F932" s="86"/>
      <c r="G932" s="87"/>
      <c r="K932" s="90"/>
      <c r="L932" s="90"/>
    </row>
    <row r="933" spans="5:12" ht="15.75" customHeight="1">
      <c r="E933" s="86"/>
      <c r="F933" s="86"/>
      <c r="G933" s="87"/>
      <c r="K933" s="90"/>
      <c r="L933" s="90"/>
    </row>
    <row r="934" spans="5:12" ht="15.75" customHeight="1">
      <c r="E934" s="86"/>
      <c r="F934" s="86"/>
      <c r="G934" s="87"/>
      <c r="K934" s="90"/>
      <c r="L934" s="90"/>
    </row>
    <row r="935" spans="5:12" ht="15.75" customHeight="1">
      <c r="E935" s="86"/>
      <c r="F935" s="86"/>
      <c r="G935" s="87"/>
      <c r="K935" s="90"/>
      <c r="L935" s="90"/>
    </row>
    <row r="936" spans="5:12" ht="15.75" customHeight="1">
      <c r="E936" s="86"/>
      <c r="F936" s="86"/>
      <c r="G936" s="87"/>
      <c r="K936" s="90"/>
      <c r="L936" s="90"/>
    </row>
    <row r="937" spans="5:12" ht="15.75" customHeight="1">
      <c r="E937" s="86"/>
      <c r="F937" s="86"/>
      <c r="G937" s="87"/>
      <c r="K937" s="90"/>
      <c r="L937" s="90"/>
    </row>
    <row r="938" spans="5:12" ht="15.75" customHeight="1">
      <c r="E938" s="86"/>
      <c r="F938" s="86"/>
      <c r="G938" s="87"/>
      <c r="K938" s="90"/>
      <c r="L938" s="90"/>
    </row>
    <row r="939" spans="5:12" ht="15.75" customHeight="1">
      <c r="E939" s="86"/>
      <c r="F939" s="86"/>
      <c r="G939" s="87"/>
      <c r="K939" s="90"/>
      <c r="L939" s="90"/>
    </row>
    <row r="940" spans="5:12" ht="15.75" customHeight="1">
      <c r="E940" s="86"/>
      <c r="F940" s="86"/>
      <c r="G940" s="87"/>
      <c r="K940" s="90"/>
      <c r="L940" s="90"/>
    </row>
    <row r="941" spans="5:12" ht="15.75" customHeight="1">
      <c r="E941" s="86"/>
      <c r="F941" s="86"/>
      <c r="G941" s="87"/>
      <c r="K941" s="90"/>
      <c r="L941" s="90"/>
    </row>
    <row r="942" spans="5:12" ht="15.75" customHeight="1">
      <c r="E942" s="86"/>
      <c r="F942" s="86"/>
      <c r="G942" s="87"/>
      <c r="K942" s="90"/>
      <c r="L942" s="90"/>
    </row>
    <row r="943" spans="5:12" ht="15.75" customHeight="1">
      <c r="E943" s="86"/>
      <c r="F943" s="86"/>
      <c r="G943" s="87"/>
      <c r="K943" s="90"/>
      <c r="L943" s="90"/>
    </row>
    <row r="944" spans="5:12" ht="15.75" customHeight="1">
      <c r="E944" s="86"/>
      <c r="F944" s="86"/>
      <c r="G944" s="87"/>
      <c r="K944" s="90"/>
      <c r="L944" s="90"/>
    </row>
    <row r="945" spans="5:12" ht="15.75" customHeight="1">
      <c r="E945" s="86"/>
      <c r="F945" s="86"/>
      <c r="G945" s="87"/>
      <c r="K945" s="90"/>
      <c r="L945" s="90"/>
    </row>
    <row r="946" spans="5:12" ht="15.75" customHeight="1">
      <c r="E946" s="86"/>
      <c r="F946" s="86"/>
      <c r="G946" s="87"/>
      <c r="K946" s="90"/>
      <c r="L946" s="90"/>
    </row>
    <row r="947" spans="5:12" ht="15.75" customHeight="1">
      <c r="E947" s="86"/>
      <c r="F947" s="86"/>
      <c r="G947" s="87"/>
      <c r="K947" s="90"/>
      <c r="L947" s="90"/>
    </row>
    <row r="948" spans="5:12" ht="15.75" customHeight="1">
      <c r="E948" s="86"/>
      <c r="F948" s="86"/>
      <c r="G948" s="87"/>
      <c r="K948" s="90"/>
      <c r="L948" s="90"/>
    </row>
    <row r="949" spans="5:12" ht="15.75" customHeight="1">
      <c r="E949" s="86"/>
      <c r="F949" s="86"/>
      <c r="G949" s="87"/>
      <c r="K949" s="90"/>
      <c r="L949" s="90"/>
    </row>
    <row r="950" spans="5:12" ht="15.75" customHeight="1">
      <c r="E950" s="86"/>
      <c r="F950" s="86"/>
      <c r="G950" s="87"/>
      <c r="K950" s="90"/>
      <c r="L950" s="90"/>
    </row>
    <row r="951" spans="5:12" ht="15.75" customHeight="1">
      <c r="E951" s="86"/>
      <c r="F951" s="86"/>
      <c r="G951" s="87"/>
      <c r="K951" s="90"/>
      <c r="L951" s="90"/>
    </row>
    <row r="952" spans="5:12" ht="15.75" customHeight="1">
      <c r="E952" s="86"/>
      <c r="F952" s="86"/>
      <c r="G952" s="87"/>
      <c r="K952" s="90"/>
      <c r="L952" s="90"/>
    </row>
    <row r="953" spans="5:12" ht="15.75" customHeight="1">
      <c r="E953" s="86"/>
      <c r="F953" s="86"/>
      <c r="G953" s="87"/>
      <c r="K953" s="90"/>
      <c r="L953" s="90"/>
    </row>
    <row r="954" spans="5:12" ht="15.75" customHeight="1">
      <c r="E954" s="86"/>
      <c r="F954" s="86"/>
      <c r="G954" s="87"/>
      <c r="K954" s="90"/>
      <c r="L954" s="90"/>
    </row>
    <row r="955" spans="5:12" ht="15.75" customHeight="1">
      <c r="E955" s="86"/>
      <c r="F955" s="86"/>
      <c r="G955" s="87"/>
      <c r="K955" s="90"/>
      <c r="L955" s="90"/>
    </row>
    <row r="956" spans="5:12" ht="15.75" customHeight="1">
      <c r="E956" s="86"/>
      <c r="F956" s="86"/>
      <c r="G956" s="87"/>
      <c r="K956" s="90"/>
      <c r="L956" s="90"/>
    </row>
    <row r="957" spans="5:12" ht="15.75" customHeight="1">
      <c r="E957" s="86"/>
      <c r="F957" s="86"/>
      <c r="G957" s="87"/>
      <c r="K957" s="90"/>
      <c r="L957" s="90"/>
    </row>
    <row r="958" spans="5:12" ht="15.75" customHeight="1">
      <c r="E958" s="86"/>
      <c r="F958" s="86"/>
      <c r="G958" s="87"/>
      <c r="K958" s="90"/>
      <c r="L958" s="90"/>
    </row>
    <row r="959" spans="5:12" ht="15.75" customHeight="1">
      <c r="E959" s="86"/>
      <c r="F959" s="86"/>
      <c r="G959" s="87"/>
      <c r="K959" s="90"/>
      <c r="L959" s="90"/>
    </row>
    <row r="960" spans="5:12" ht="15.75" customHeight="1">
      <c r="E960" s="86"/>
      <c r="F960" s="86"/>
      <c r="G960" s="87"/>
      <c r="K960" s="90"/>
      <c r="L960" s="90"/>
    </row>
    <row r="961" spans="5:12" ht="15.75" customHeight="1">
      <c r="E961" s="86"/>
      <c r="F961" s="86"/>
      <c r="G961" s="87"/>
      <c r="K961" s="90"/>
      <c r="L961" s="90"/>
    </row>
    <row r="962" spans="5:12" ht="15.75" customHeight="1">
      <c r="E962" s="86"/>
      <c r="F962" s="86"/>
      <c r="G962" s="87"/>
      <c r="K962" s="90"/>
      <c r="L962" s="90"/>
    </row>
    <row r="963" spans="5:12" ht="15.75" customHeight="1">
      <c r="E963" s="86"/>
      <c r="F963" s="86"/>
      <c r="G963" s="87"/>
      <c r="K963" s="90"/>
      <c r="L963" s="90"/>
    </row>
    <row r="964" spans="5:12" ht="15.75" customHeight="1">
      <c r="E964" s="86"/>
      <c r="F964" s="86"/>
      <c r="G964" s="87"/>
      <c r="K964" s="90"/>
      <c r="L964" s="90"/>
    </row>
    <row r="965" spans="5:12" ht="15.75" customHeight="1">
      <c r="E965" s="86"/>
      <c r="F965" s="86"/>
      <c r="G965" s="87"/>
      <c r="K965" s="90"/>
      <c r="L965" s="90"/>
    </row>
    <row r="966" spans="5:12" ht="15.75" customHeight="1">
      <c r="E966" s="86"/>
      <c r="F966" s="86"/>
      <c r="G966" s="87"/>
      <c r="K966" s="90"/>
      <c r="L966" s="90"/>
    </row>
    <row r="967" spans="5:12" ht="15.75" customHeight="1">
      <c r="E967" s="86"/>
      <c r="F967" s="86"/>
      <c r="G967" s="87"/>
      <c r="K967" s="90"/>
      <c r="L967" s="90"/>
    </row>
    <row r="968" spans="5:12" ht="15.75" customHeight="1">
      <c r="E968" s="86"/>
      <c r="F968" s="86"/>
      <c r="G968" s="87"/>
      <c r="K968" s="90"/>
      <c r="L968" s="90"/>
    </row>
    <row r="969" spans="5:12" ht="15.75" customHeight="1">
      <c r="E969" s="86"/>
      <c r="F969" s="86"/>
      <c r="G969" s="87"/>
      <c r="K969" s="90"/>
      <c r="L969" s="90"/>
    </row>
    <row r="970" spans="5:12" ht="15.75" customHeight="1">
      <c r="E970" s="86"/>
      <c r="F970" s="86"/>
      <c r="G970" s="87"/>
      <c r="K970" s="90"/>
      <c r="L970" s="90"/>
    </row>
    <row r="971" spans="5:12" ht="15.75" customHeight="1">
      <c r="E971" s="86"/>
      <c r="F971" s="86"/>
      <c r="G971" s="87"/>
      <c r="K971" s="90"/>
      <c r="L971" s="90"/>
    </row>
    <row r="972" spans="5:12" ht="15.75" customHeight="1">
      <c r="E972" s="86"/>
      <c r="F972" s="86"/>
      <c r="G972" s="87"/>
      <c r="K972" s="90"/>
      <c r="L972" s="90"/>
    </row>
    <row r="973" spans="5:12" ht="15.75" customHeight="1">
      <c r="E973" s="86"/>
      <c r="F973" s="86"/>
      <c r="G973" s="87"/>
      <c r="K973" s="90"/>
      <c r="L973" s="90"/>
    </row>
    <row r="974" spans="5:12" ht="15.75" customHeight="1">
      <c r="E974" s="86"/>
      <c r="F974" s="86"/>
      <c r="G974" s="87"/>
      <c r="K974" s="90"/>
      <c r="L974" s="90"/>
    </row>
    <row r="975" spans="5:12" ht="15.75" customHeight="1">
      <c r="E975" s="86"/>
      <c r="F975" s="86"/>
      <c r="G975" s="87"/>
      <c r="K975" s="90"/>
      <c r="L975" s="90"/>
    </row>
    <row r="976" spans="5:12" ht="15.75" customHeight="1">
      <c r="E976" s="86"/>
      <c r="F976" s="86"/>
      <c r="G976" s="87"/>
      <c r="K976" s="90"/>
      <c r="L976" s="90"/>
    </row>
    <row r="977" spans="5:12" ht="15.75" customHeight="1">
      <c r="E977" s="86"/>
      <c r="F977" s="86"/>
      <c r="G977" s="87"/>
      <c r="K977" s="90"/>
      <c r="L977" s="90"/>
    </row>
    <row r="978" spans="5:12" ht="15.75" customHeight="1">
      <c r="E978" s="86"/>
      <c r="F978" s="86"/>
      <c r="G978" s="87"/>
      <c r="K978" s="90"/>
      <c r="L978" s="90"/>
    </row>
    <row r="979" spans="5:12" ht="15.75" customHeight="1">
      <c r="E979" s="86"/>
      <c r="F979" s="86"/>
      <c r="G979" s="87"/>
      <c r="K979" s="90"/>
      <c r="L979" s="90"/>
    </row>
    <row r="980" spans="5:12" ht="15.75" customHeight="1">
      <c r="E980" s="86"/>
      <c r="F980" s="86"/>
      <c r="G980" s="87"/>
      <c r="K980" s="90"/>
      <c r="L980" s="90"/>
    </row>
    <row r="981" spans="5:12" ht="15.75" customHeight="1">
      <c r="E981" s="86"/>
      <c r="F981" s="86"/>
      <c r="G981" s="87"/>
      <c r="K981" s="90"/>
      <c r="L981" s="90"/>
    </row>
    <row r="982" spans="5:12" ht="15.75" customHeight="1">
      <c r="E982" s="86"/>
      <c r="F982" s="86"/>
      <c r="G982" s="87"/>
      <c r="K982" s="90"/>
      <c r="L982" s="90"/>
    </row>
    <row r="983" spans="5:12" ht="15.75" customHeight="1">
      <c r="E983" s="86"/>
      <c r="F983" s="86"/>
      <c r="G983" s="87"/>
      <c r="K983" s="90"/>
      <c r="L983" s="90"/>
    </row>
    <row r="984" spans="5:12" ht="15.75" customHeight="1">
      <c r="E984" s="86"/>
      <c r="F984" s="86"/>
      <c r="G984" s="87"/>
      <c r="K984" s="90"/>
      <c r="L984" s="90"/>
    </row>
    <row r="985" spans="5:12" ht="15.75" customHeight="1">
      <c r="E985" s="86"/>
      <c r="F985" s="86"/>
      <c r="G985" s="87"/>
      <c r="K985" s="90"/>
      <c r="L985" s="90"/>
    </row>
    <row r="986" spans="5:12" ht="15.75" customHeight="1">
      <c r="E986" s="86"/>
      <c r="F986" s="86"/>
      <c r="G986" s="87"/>
      <c r="K986" s="90"/>
      <c r="L986" s="90"/>
    </row>
    <row r="987" spans="5:12" ht="15.75" customHeight="1">
      <c r="E987" s="86"/>
      <c r="F987" s="86"/>
      <c r="G987" s="87"/>
      <c r="K987" s="90"/>
      <c r="L987" s="90"/>
    </row>
    <row r="988" spans="5:12" ht="15.75" customHeight="1">
      <c r="E988" s="86"/>
      <c r="F988" s="86"/>
      <c r="G988" s="87"/>
      <c r="K988" s="90"/>
      <c r="L988" s="90"/>
    </row>
    <row r="989" spans="5:12" ht="15.75" customHeight="1">
      <c r="E989" s="86"/>
      <c r="F989" s="86"/>
      <c r="G989" s="87"/>
      <c r="K989" s="90"/>
      <c r="L989" s="90"/>
    </row>
    <row r="990" spans="5:12" ht="15.75" customHeight="1">
      <c r="E990" s="86"/>
      <c r="F990" s="86"/>
      <c r="G990" s="87"/>
      <c r="K990" s="90"/>
      <c r="L990" s="90"/>
    </row>
    <row r="991" spans="5:12" ht="15.75" customHeight="1">
      <c r="E991" s="86"/>
      <c r="F991" s="86"/>
      <c r="G991" s="87"/>
      <c r="K991" s="90"/>
      <c r="L991" s="90"/>
    </row>
    <row r="992" spans="5:12" ht="15.75" customHeight="1">
      <c r="E992" s="86"/>
      <c r="F992" s="86"/>
      <c r="G992" s="87"/>
      <c r="K992" s="90"/>
      <c r="L992" s="90"/>
    </row>
    <row r="993" spans="5:12" ht="15.75" customHeight="1">
      <c r="E993" s="86"/>
      <c r="F993" s="86"/>
      <c r="G993" s="87"/>
      <c r="K993" s="90"/>
      <c r="L993" s="90"/>
    </row>
    <row r="994" spans="5:12" ht="15.75" customHeight="1">
      <c r="E994" s="86"/>
      <c r="F994" s="86"/>
      <c r="G994" s="87"/>
      <c r="K994" s="90"/>
      <c r="L994" s="90"/>
    </row>
    <row r="995" spans="5:12" ht="15.75" customHeight="1">
      <c r="E995" s="86"/>
      <c r="F995" s="86"/>
      <c r="G995" s="87"/>
      <c r="K995" s="90"/>
      <c r="L995" s="90"/>
    </row>
    <row r="996" spans="5:12" ht="15.75" customHeight="1">
      <c r="E996" s="86"/>
      <c r="F996" s="86"/>
      <c r="G996" s="87"/>
      <c r="K996" s="90"/>
      <c r="L996" s="90"/>
    </row>
    <row r="997" spans="5:12" ht="15.75" customHeight="1">
      <c r="E997" s="86"/>
      <c r="F997" s="86"/>
      <c r="G997" s="87"/>
      <c r="K997" s="90"/>
      <c r="L997" s="90"/>
    </row>
    <row r="998" spans="5:12" ht="15.75" customHeight="1">
      <c r="E998" s="86"/>
      <c r="F998" s="86"/>
      <c r="G998" s="87"/>
      <c r="K998" s="90"/>
      <c r="L998" s="90"/>
    </row>
    <row r="999" spans="5:12" ht="15.75" customHeight="1">
      <c r="E999" s="86"/>
      <c r="F999" s="86"/>
      <c r="G999" s="87"/>
      <c r="K999" s="90"/>
      <c r="L999" s="90"/>
    </row>
    <row r="1000" spans="5:12" ht="15.75" customHeight="1">
      <c r="E1000" s="86"/>
      <c r="F1000" s="86"/>
      <c r="G1000" s="87"/>
      <c r="K1000" s="90"/>
      <c r="L1000" s="90"/>
    </row>
  </sheetData>
  <mergeCells count="5">
    <mergeCell ref="G2:H2"/>
    <mergeCell ref="N11:P11"/>
    <mergeCell ref="N18:P18"/>
    <mergeCell ref="N23:P23"/>
    <mergeCell ref="N9:P10"/>
  </mergeCells>
  <conditionalFormatting sqref="J8">
    <cfRule type="cellIs" dxfId="83" priority="147" operator="equal">
      <formula>"Ciclo com Perda"</formula>
    </cfRule>
  </conditionalFormatting>
  <conditionalFormatting sqref="N12:P12">
    <cfRule type="cellIs" dxfId="82" priority="88" operator="equal">
      <formula>"◄◄"</formula>
    </cfRule>
    <cfRule type="cellIs" dxfId="81" priority="89" operator="equal">
      <formula>"hai vinto"</formula>
    </cfRule>
    <cfRule type="cellIs" dxfId="80" priority="90" operator="equal">
      <formula>"hai perso"</formula>
    </cfRule>
    <cfRule type="cellIs" dxfId="79" priority="91" operator="equal">
      <formula>"Ciclo com Perda"</formula>
    </cfRule>
    <cfRule type="cellIs" dxfId="78" priority="92" operator="equal">
      <formula>"Ciclo com Lucro"</formula>
    </cfRule>
  </conditionalFormatting>
  <conditionalFormatting sqref="N13:P13">
    <cfRule type="cellIs" dxfId="77" priority="83" operator="equal">
      <formula>"◄◄"</formula>
    </cfRule>
    <cfRule type="cellIs" dxfId="76" priority="84" operator="equal">
      <formula>"hai vinto"</formula>
    </cfRule>
    <cfRule type="cellIs" dxfId="75" priority="85" operator="equal">
      <formula>"hai perso"</formula>
    </cfRule>
    <cfRule type="cellIs" dxfId="74" priority="86" operator="equal">
      <formula>"Ciclo com Perda"</formula>
    </cfRule>
    <cfRule type="cellIs" dxfId="73" priority="87" operator="equal">
      <formula>"Ciclo com Lucro"</formula>
    </cfRule>
  </conditionalFormatting>
  <conditionalFormatting sqref="N14:P14">
    <cfRule type="cellIs" dxfId="72" priority="78" operator="equal">
      <formula>"◄◄"</formula>
    </cfRule>
    <cfRule type="cellIs" dxfId="71" priority="79" operator="equal">
      <formula>"hai vinto"</formula>
    </cfRule>
    <cfRule type="cellIs" dxfId="70" priority="80" operator="equal">
      <formula>"hai perso"</formula>
    </cfRule>
    <cfRule type="cellIs" dxfId="69" priority="81" operator="equal">
      <formula>"Ciclo com Perda"</formula>
    </cfRule>
    <cfRule type="cellIs" dxfId="68" priority="82" operator="equal">
      <formula>"Ciclo com Lucro"</formula>
    </cfRule>
  </conditionalFormatting>
  <conditionalFormatting sqref="N15">
    <cfRule type="cellIs" dxfId="67" priority="20" operator="equal">
      <formula>"Ciclo com Lucro"</formula>
    </cfRule>
    <cfRule type="cellIs" dxfId="66" priority="19" operator="equal">
      <formula>"Ciclo com Perda"</formula>
    </cfRule>
    <cfRule type="cellIs" dxfId="65" priority="18" operator="equal">
      <formula>"hai perso"</formula>
    </cfRule>
    <cfRule type="cellIs" dxfId="64" priority="17" operator="equal">
      <formula>"hai vinto"</formula>
    </cfRule>
    <cfRule type="cellIs" dxfId="63" priority="16" operator="equal">
      <formula>"◄◄"</formula>
    </cfRule>
  </conditionalFormatting>
  <conditionalFormatting sqref="O15">
    <cfRule type="cellIs" dxfId="62" priority="15" operator="equal">
      <formula>"Ciclo com Lucro"</formula>
    </cfRule>
    <cfRule type="cellIs" dxfId="61" priority="14" operator="equal">
      <formula>"Ciclo com Perda"</formula>
    </cfRule>
    <cfRule type="cellIs" dxfId="60" priority="13" operator="equal">
      <formula>"hai perso"</formula>
    </cfRule>
    <cfRule type="cellIs" dxfId="59" priority="12" operator="equal">
      <formula>"hai vinto"</formula>
    </cfRule>
    <cfRule type="cellIs" dxfId="58" priority="11" operator="equal">
      <formula>"◄◄"</formula>
    </cfRule>
  </conditionalFormatting>
  <conditionalFormatting sqref="P15">
    <cfRule type="cellIs" dxfId="57" priority="5" operator="equal">
      <formula>"Ciclo com Lucro"</formula>
    </cfRule>
    <cfRule type="cellIs" dxfId="56" priority="4" operator="equal">
      <formula>"Ciclo com Perda"</formula>
    </cfRule>
    <cfRule type="cellIs" dxfId="55" priority="3" operator="equal">
      <formula>"hai perso"</formula>
    </cfRule>
    <cfRule type="cellIs" dxfId="54" priority="2" operator="equal">
      <formula>"hai vinto"</formula>
    </cfRule>
    <cfRule type="cellIs" dxfId="53" priority="1" operator="equal">
      <formula>"◄◄"</formula>
    </cfRule>
  </conditionalFormatting>
  <conditionalFormatting sqref="N16">
    <cfRule type="cellIs" dxfId="52" priority="30" operator="equal">
      <formula>"Ciclo com Lucro"</formula>
    </cfRule>
    <cfRule type="cellIs" dxfId="51" priority="29" operator="equal">
      <formula>"Ciclo com Perda"</formula>
    </cfRule>
    <cfRule type="cellIs" dxfId="50" priority="28" operator="equal">
      <formula>"hai perso"</formula>
    </cfRule>
    <cfRule type="cellIs" dxfId="49" priority="27" operator="equal">
      <formula>"hai vinto"</formula>
    </cfRule>
    <cfRule type="cellIs" dxfId="48" priority="26" operator="equal">
      <formula>"◄◄"</formula>
    </cfRule>
  </conditionalFormatting>
  <conditionalFormatting sqref="O16">
    <cfRule type="cellIs" dxfId="47" priority="10" operator="equal">
      <formula>"Ciclo com Lucro"</formula>
    </cfRule>
    <cfRule type="cellIs" dxfId="46" priority="9" operator="equal">
      <formula>"Ciclo com Perda"</formula>
    </cfRule>
    <cfRule type="cellIs" dxfId="45" priority="8" operator="equal">
      <formula>"hai perso"</formula>
    </cfRule>
    <cfRule type="cellIs" dxfId="44" priority="7" operator="equal">
      <formula>"hai vinto"</formula>
    </cfRule>
    <cfRule type="cellIs" dxfId="43" priority="6" operator="equal">
      <formula>"◄◄"</formula>
    </cfRule>
  </conditionalFormatting>
  <conditionalFormatting sqref="P16">
    <cfRule type="cellIs" dxfId="42" priority="25" operator="equal">
      <formula>"Ciclo com Lucro"</formula>
    </cfRule>
    <cfRule type="cellIs" dxfId="41" priority="24" operator="equal">
      <formula>"Ciclo com Perda"</formula>
    </cfRule>
    <cfRule type="cellIs" dxfId="40" priority="23" operator="equal">
      <formula>"hai perso"</formula>
    </cfRule>
    <cfRule type="cellIs" dxfId="39" priority="22" operator="equal">
      <formula>"hai vinto"</formula>
    </cfRule>
    <cfRule type="cellIs" dxfId="38" priority="21" operator="equal">
      <formula>"◄◄"</formula>
    </cfRule>
  </conditionalFormatting>
  <conditionalFormatting sqref="N19:P19">
    <cfRule type="cellIs" dxfId="37" priority="68" operator="equal">
      <formula>"◄◄"</formula>
    </cfRule>
    <cfRule type="cellIs" dxfId="36" priority="69" operator="equal">
      <formula>"hai vinto"</formula>
    </cfRule>
    <cfRule type="cellIs" dxfId="35" priority="70" operator="equal">
      <formula>"hai perso"</formula>
    </cfRule>
    <cfRule type="cellIs" dxfId="34" priority="71" operator="equal">
      <formula>"Ciclo com Perda"</formula>
    </cfRule>
    <cfRule type="cellIs" dxfId="33" priority="72" operator="equal">
      <formula>"Ciclo com Lucro"</formula>
    </cfRule>
  </conditionalFormatting>
  <conditionalFormatting sqref="N20:P20">
    <cfRule type="cellIs" dxfId="32" priority="63" operator="equal">
      <formula>"◄◄"</formula>
    </cfRule>
    <cfRule type="cellIs" dxfId="31" priority="64" operator="equal">
      <formula>"hai vinto"</formula>
    </cfRule>
    <cfRule type="cellIs" dxfId="30" priority="65" operator="equal">
      <formula>"hai perso"</formula>
    </cfRule>
    <cfRule type="cellIs" dxfId="29" priority="66" operator="equal">
      <formula>"Ciclo com Perda"</formula>
    </cfRule>
    <cfRule type="cellIs" dxfId="28" priority="67" operator="equal">
      <formula>"Ciclo com Lucro"</formula>
    </cfRule>
  </conditionalFormatting>
  <conditionalFormatting sqref="N21:P21">
    <cfRule type="cellIs" dxfId="27" priority="58" operator="equal">
      <formula>"◄◄"</formula>
    </cfRule>
    <cfRule type="cellIs" dxfId="26" priority="59" operator="equal">
      <formula>"hai vinto"</formula>
    </cfRule>
    <cfRule type="cellIs" dxfId="25" priority="60" operator="equal">
      <formula>"hai perso"</formula>
    </cfRule>
    <cfRule type="cellIs" dxfId="24" priority="61" operator="equal">
      <formula>"Ciclo com Perda"</formula>
    </cfRule>
    <cfRule type="cellIs" dxfId="23" priority="62" operator="equal">
      <formula>"Ciclo com Lucro"</formula>
    </cfRule>
  </conditionalFormatting>
  <conditionalFormatting sqref="N24:P24">
    <cfRule type="cellIs" dxfId="22" priority="53" operator="equal">
      <formula>"◄◄"</formula>
    </cfRule>
    <cfRule type="cellIs" dxfId="21" priority="54" operator="equal">
      <formula>"hai vinto"</formula>
    </cfRule>
    <cfRule type="cellIs" dxfId="20" priority="55" operator="equal">
      <formula>"hai perso"</formula>
    </cfRule>
    <cfRule type="cellIs" dxfId="19" priority="56" operator="equal">
      <formula>"Ciclo com Perda"</formula>
    </cfRule>
    <cfRule type="cellIs" dxfId="18" priority="57" operator="equal">
      <formula>"Ciclo com Lucro"</formula>
    </cfRule>
  </conditionalFormatting>
  <conditionalFormatting sqref="N25:P25">
    <cfRule type="cellIs" dxfId="17" priority="48" operator="equal">
      <formula>"◄◄"</formula>
    </cfRule>
    <cfRule type="cellIs" dxfId="16" priority="49" operator="equal">
      <formula>"hai vinto"</formula>
    </cfRule>
    <cfRule type="cellIs" dxfId="15" priority="50" operator="equal">
      <formula>"hai perso"</formula>
    </cfRule>
    <cfRule type="cellIs" dxfId="14" priority="51" operator="equal">
      <formula>"Ciclo com Perda"</formula>
    </cfRule>
    <cfRule type="cellIs" dxfId="13" priority="52" operator="equal">
      <formula>"Ciclo com Lucro"</formula>
    </cfRule>
  </conditionalFormatting>
  <conditionalFormatting sqref="P25">
    <cfRule type="cellIs" dxfId="12" priority="41" operator="lessThan">
      <formula>0</formula>
    </cfRule>
    <cfRule type="cellIs" dxfId="11" priority="42" operator="greaterThan">
      <formula>0</formula>
    </cfRule>
  </conditionalFormatting>
  <conditionalFormatting sqref="P27">
    <cfRule type="expression" dxfId="10" priority="40">
      <formula>P14&gt;P27</formula>
    </cfRule>
  </conditionalFormatting>
  <conditionalFormatting sqref="D3:D102">
    <cfRule type="cellIs" dxfId="9" priority="131" operator="equal">
      <formula>"W"</formula>
    </cfRule>
    <cfRule type="cellIs" dxfId="8" priority="132" operator="equal">
      <formula>"L"</formula>
    </cfRule>
  </conditionalFormatting>
  <conditionalFormatting sqref="F3:F102">
    <cfRule type="cellIs" dxfId="7" priority="129" operator="lessThan">
      <formula>0</formula>
    </cfRule>
    <cfRule type="cellIs" dxfId="6" priority="130" operator="greaterThan">
      <formula>0</formula>
    </cfRule>
  </conditionalFormatting>
  <conditionalFormatting sqref="I3:I102">
    <cfRule type="notContainsBlanks" dxfId="5" priority="128">
      <formula>LEN(TRIM(I3))&gt;0</formula>
    </cfRule>
  </conditionalFormatting>
  <conditionalFormatting sqref="J3:J102">
    <cfRule type="cellIs" dxfId="4" priority="133" operator="equal">
      <formula>"◄◄"</formula>
    </cfRule>
    <cfRule type="cellIs" dxfId="3" priority="134" operator="equal">
      <formula>"hai vinto"</formula>
    </cfRule>
    <cfRule type="cellIs" dxfId="2" priority="135" operator="equal">
      <formula>"hai perso"</formula>
    </cfRule>
    <cfRule type="cellIs" dxfId="1" priority="148" operator="equal">
      <formula>"Ciclo com Perda"</formula>
    </cfRule>
    <cfRule type="cellIs" dxfId="0" priority="149" operator="equal">
      <formula>"Ciclo com Lucro"</formula>
    </cfRule>
  </conditionalFormatting>
  <dataValidations count="5">
    <dataValidation type="decimal" allowBlank="1" showErrorMessage="1" sqref="O13">
      <formula1>1</formula1>
      <formula2>100</formula2>
    </dataValidation>
    <dataValidation type="custom" allowBlank="1" showErrorMessage="1" sqref="O14">
      <formula1>AND(O14&gt;0,O14&lt;O13+1)</formula1>
    </dataValidation>
    <dataValidation type="decimal" operator="greaterThan" allowBlank="1" showErrorMessage="1" sqref="O15">
      <formula1>1</formula1>
    </dataValidation>
    <dataValidation type="list" allowBlank="1" showInputMessage="1" showErrorMessage="1" sqref="O16">
      <formula1>"Normal,Progressivo"</formula1>
    </dataValidation>
    <dataValidation type="list" allowBlank="1" showInputMessage="1" showErrorMessage="1" sqref="D3:D103">
      <formula1>"W,L"</formula1>
    </dataValidation>
  </dataValidation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302"/>
  <sheetViews>
    <sheetView workbookViewId="0">
      <selection activeCell="L4" sqref="L4"/>
    </sheetView>
  </sheetViews>
  <sheetFormatPr defaultColWidth="14.42578125" defaultRowHeight="15" customHeight="1"/>
  <cols>
    <col min="1" max="1" width="7.28515625" customWidth="1"/>
    <col min="2" max="2" width="10.7109375" customWidth="1"/>
    <col min="3" max="3" width="14.140625" customWidth="1"/>
    <col min="4" max="4" width="17.140625" customWidth="1"/>
    <col min="5" max="5" width="23.42578125" customWidth="1"/>
    <col min="6" max="6" width="14.28515625" customWidth="1"/>
    <col min="7" max="7" width="10.85546875" customWidth="1"/>
    <col min="8" max="8" width="13.85546875" customWidth="1"/>
    <col min="9" max="9" width="12.5703125" customWidth="1"/>
    <col min="10" max="10" width="3.28515625" customWidth="1"/>
    <col min="11" max="11" width="18.28515625" customWidth="1"/>
    <col min="12" max="12" width="5" customWidth="1"/>
    <col min="13" max="13" width="10.140625" customWidth="1"/>
    <col min="14" max="114" width="14.42578125" customWidth="1"/>
  </cols>
  <sheetData>
    <row r="1" spans="1:114" ht="15.75" customHeight="1">
      <c r="A1" s="1"/>
      <c r="B1" s="1"/>
      <c r="C1" s="2"/>
      <c r="D1" s="2"/>
      <c r="E1" s="3"/>
      <c r="F1" s="3" t="s">
        <v>24</v>
      </c>
      <c r="G1" s="4" t="s">
        <v>25</v>
      </c>
      <c r="H1" s="4" t="s">
        <v>26</v>
      </c>
      <c r="I1" s="4" t="s">
        <v>27</v>
      </c>
      <c r="J1" s="6"/>
      <c r="K1" s="7" t="s">
        <v>28</v>
      </c>
      <c r="L1" s="8">
        <f>Gerenciamento!$O$13</f>
        <v>7</v>
      </c>
      <c r="M1" s="9"/>
      <c r="N1" s="9">
        <v>0</v>
      </c>
      <c r="O1" s="9">
        <f t="shared" ref="O1:DJ1" si="0">IF(N1&lt;$L$2,N1+1)</f>
        <v>1</v>
      </c>
      <c r="P1" s="9">
        <f t="shared" si="0"/>
        <v>2</v>
      </c>
      <c r="Q1" s="9" t="b">
        <f t="shared" si="0"/>
        <v>0</v>
      </c>
      <c r="R1" s="9" t="b">
        <f t="shared" si="0"/>
        <v>0</v>
      </c>
      <c r="S1" s="9" t="b">
        <f t="shared" si="0"/>
        <v>0</v>
      </c>
      <c r="T1" s="9" t="b">
        <f t="shared" si="0"/>
        <v>0</v>
      </c>
      <c r="U1" s="9" t="b">
        <f t="shared" si="0"/>
        <v>0</v>
      </c>
      <c r="V1" s="9" t="b">
        <f t="shared" si="0"/>
        <v>0</v>
      </c>
      <c r="W1" s="9" t="b">
        <f t="shared" si="0"/>
        <v>0</v>
      </c>
      <c r="X1" s="9" t="b">
        <f t="shared" si="0"/>
        <v>0</v>
      </c>
      <c r="Y1" s="9" t="b">
        <f t="shared" si="0"/>
        <v>0</v>
      </c>
      <c r="Z1" s="9" t="b">
        <f t="shared" si="0"/>
        <v>0</v>
      </c>
      <c r="AA1" s="9" t="b">
        <f t="shared" si="0"/>
        <v>0</v>
      </c>
      <c r="AB1" s="9" t="b">
        <f t="shared" si="0"/>
        <v>0</v>
      </c>
      <c r="AC1" s="9" t="b">
        <f t="shared" si="0"/>
        <v>0</v>
      </c>
      <c r="AD1" s="9" t="b">
        <f t="shared" si="0"/>
        <v>0</v>
      </c>
      <c r="AE1" s="9" t="b">
        <f t="shared" si="0"/>
        <v>0</v>
      </c>
      <c r="AF1" s="9" t="b">
        <f t="shared" si="0"/>
        <v>0</v>
      </c>
      <c r="AG1" s="9" t="b">
        <f t="shared" si="0"/>
        <v>0</v>
      </c>
      <c r="AH1" s="9" t="b">
        <f t="shared" si="0"/>
        <v>0</v>
      </c>
      <c r="AI1" s="9" t="b">
        <f t="shared" si="0"/>
        <v>0</v>
      </c>
      <c r="AJ1" s="9" t="b">
        <f t="shared" si="0"/>
        <v>0</v>
      </c>
      <c r="AK1" s="9" t="b">
        <f t="shared" si="0"/>
        <v>0</v>
      </c>
      <c r="AL1" s="9" t="b">
        <f t="shared" si="0"/>
        <v>0</v>
      </c>
      <c r="AM1" s="9" t="b">
        <f t="shared" si="0"/>
        <v>0</v>
      </c>
      <c r="AN1" s="9" t="b">
        <f t="shared" si="0"/>
        <v>0</v>
      </c>
      <c r="AO1" s="9" t="b">
        <f t="shared" si="0"/>
        <v>0</v>
      </c>
      <c r="AP1" s="9" t="b">
        <f t="shared" si="0"/>
        <v>0</v>
      </c>
      <c r="AQ1" s="9" t="b">
        <f t="shared" si="0"/>
        <v>0</v>
      </c>
      <c r="AR1" s="9" t="b">
        <f t="shared" si="0"/>
        <v>0</v>
      </c>
      <c r="AS1" s="9" t="b">
        <f t="shared" si="0"/>
        <v>0</v>
      </c>
      <c r="AT1" s="9" t="b">
        <f t="shared" si="0"/>
        <v>0</v>
      </c>
      <c r="AU1" s="9" t="b">
        <f t="shared" si="0"/>
        <v>0</v>
      </c>
      <c r="AV1" s="9" t="b">
        <f t="shared" si="0"/>
        <v>0</v>
      </c>
      <c r="AW1" s="9" t="b">
        <f t="shared" si="0"/>
        <v>0</v>
      </c>
      <c r="AX1" s="9" t="b">
        <f t="shared" si="0"/>
        <v>0</v>
      </c>
      <c r="AY1" s="9" t="b">
        <f t="shared" si="0"/>
        <v>0</v>
      </c>
      <c r="AZ1" s="9" t="b">
        <f t="shared" si="0"/>
        <v>0</v>
      </c>
      <c r="BA1" s="9" t="b">
        <f t="shared" si="0"/>
        <v>0</v>
      </c>
      <c r="BB1" s="9" t="b">
        <f t="shared" si="0"/>
        <v>0</v>
      </c>
      <c r="BC1" s="9" t="b">
        <f t="shared" si="0"/>
        <v>0</v>
      </c>
      <c r="BD1" s="9" t="b">
        <f t="shared" si="0"/>
        <v>0</v>
      </c>
      <c r="BE1" s="9" t="b">
        <f t="shared" si="0"/>
        <v>0</v>
      </c>
      <c r="BF1" s="9" t="b">
        <f t="shared" si="0"/>
        <v>0</v>
      </c>
      <c r="BG1" s="9" t="b">
        <f t="shared" si="0"/>
        <v>0</v>
      </c>
      <c r="BH1" s="9" t="b">
        <f t="shared" si="0"/>
        <v>0</v>
      </c>
      <c r="BI1" s="9" t="b">
        <f t="shared" si="0"/>
        <v>0</v>
      </c>
      <c r="BJ1" s="9" t="b">
        <f t="shared" si="0"/>
        <v>0</v>
      </c>
      <c r="BK1" s="9" t="b">
        <f t="shared" si="0"/>
        <v>0</v>
      </c>
      <c r="BL1" s="9" t="b">
        <f t="shared" si="0"/>
        <v>0</v>
      </c>
      <c r="BM1" s="9" t="b">
        <f t="shared" si="0"/>
        <v>0</v>
      </c>
      <c r="BN1" s="9" t="b">
        <f t="shared" si="0"/>
        <v>0</v>
      </c>
      <c r="BO1" s="9" t="b">
        <f t="shared" si="0"/>
        <v>0</v>
      </c>
      <c r="BP1" s="9" t="b">
        <f t="shared" si="0"/>
        <v>0</v>
      </c>
      <c r="BQ1" s="9" t="b">
        <f t="shared" si="0"/>
        <v>0</v>
      </c>
      <c r="BR1" s="9" t="b">
        <f t="shared" si="0"/>
        <v>0</v>
      </c>
      <c r="BS1" s="9" t="b">
        <f t="shared" si="0"/>
        <v>0</v>
      </c>
      <c r="BT1" s="9" t="b">
        <f t="shared" si="0"/>
        <v>0</v>
      </c>
      <c r="BU1" s="9" t="b">
        <f t="shared" si="0"/>
        <v>0</v>
      </c>
      <c r="BV1" s="9" t="b">
        <f t="shared" si="0"/>
        <v>0</v>
      </c>
      <c r="BW1" s="9" t="b">
        <f t="shared" si="0"/>
        <v>0</v>
      </c>
      <c r="BX1" s="9" t="b">
        <f t="shared" si="0"/>
        <v>0</v>
      </c>
      <c r="BY1" s="9" t="b">
        <f t="shared" si="0"/>
        <v>0</v>
      </c>
      <c r="BZ1" s="9" t="b">
        <f t="shared" si="0"/>
        <v>0</v>
      </c>
      <c r="CA1" s="9" t="b">
        <f t="shared" si="0"/>
        <v>0</v>
      </c>
      <c r="CB1" s="9" t="b">
        <f t="shared" si="0"/>
        <v>0</v>
      </c>
      <c r="CC1" s="9" t="b">
        <f t="shared" si="0"/>
        <v>0</v>
      </c>
      <c r="CD1" s="9" t="b">
        <f t="shared" si="0"/>
        <v>0</v>
      </c>
      <c r="CE1" s="9" t="b">
        <f t="shared" si="0"/>
        <v>0</v>
      </c>
      <c r="CF1" s="9" t="b">
        <f t="shared" si="0"/>
        <v>0</v>
      </c>
      <c r="CG1" s="9" t="b">
        <f t="shared" si="0"/>
        <v>0</v>
      </c>
      <c r="CH1" s="9" t="b">
        <f t="shared" si="0"/>
        <v>0</v>
      </c>
      <c r="CI1" s="9" t="b">
        <f t="shared" si="0"/>
        <v>0</v>
      </c>
      <c r="CJ1" s="9" t="b">
        <f t="shared" si="0"/>
        <v>0</v>
      </c>
      <c r="CK1" s="9" t="b">
        <f t="shared" si="0"/>
        <v>0</v>
      </c>
      <c r="CL1" s="9" t="b">
        <f t="shared" si="0"/>
        <v>0</v>
      </c>
      <c r="CM1" s="9" t="b">
        <f t="shared" si="0"/>
        <v>0</v>
      </c>
      <c r="CN1" s="9" t="b">
        <f t="shared" si="0"/>
        <v>0</v>
      </c>
      <c r="CO1" s="9" t="b">
        <f t="shared" si="0"/>
        <v>0</v>
      </c>
      <c r="CP1" s="9" t="b">
        <f t="shared" si="0"/>
        <v>0</v>
      </c>
      <c r="CQ1" s="9" t="b">
        <f t="shared" si="0"/>
        <v>0</v>
      </c>
      <c r="CR1" s="9" t="b">
        <f t="shared" si="0"/>
        <v>0</v>
      </c>
      <c r="CS1" s="9" t="b">
        <f t="shared" si="0"/>
        <v>0</v>
      </c>
      <c r="CT1" s="9" t="b">
        <f t="shared" si="0"/>
        <v>0</v>
      </c>
      <c r="CU1" s="9" t="b">
        <f t="shared" si="0"/>
        <v>0</v>
      </c>
      <c r="CV1" s="9" t="b">
        <f t="shared" si="0"/>
        <v>0</v>
      </c>
      <c r="CW1" s="9" t="b">
        <f t="shared" si="0"/>
        <v>0</v>
      </c>
      <c r="CX1" s="9" t="b">
        <f t="shared" si="0"/>
        <v>0</v>
      </c>
      <c r="CY1" s="9" t="b">
        <f t="shared" si="0"/>
        <v>0</v>
      </c>
      <c r="CZ1" s="9" t="b">
        <f t="shared" si="0"/>
        <v>0</v>
      </c>
      <c r="DA1" s="9" t="b">
        <f t="shared" si="0"/>
        <v>0</v>
      </c>
      <c r="DB1" s="9" t="b">
        <f t="shared" si="0"/>
        <v>0</v>
      </c>
      <c r="DC1" s="9" t="b">
        <f t="shared" si="0"/>
        <v>0</v>
      </c>
      <c r="DD1" s="9" t="b">
        <f t="shared" si="0"/>
        <v>0</v>
      </c>
      <c r="DE1" s="9" t="b">
        <f t="shared" si="0"/>
        <v>0</v>
      </c>
      <c r="DF1" s="9" t="b">
        <f t="shared" si="0"/>
        <v>0</v>
      </c>
      <c r="DG1" s="9" t="b">
        <f t="shared" si="0"/>
        <v>0</v>
      </c>
      <c r="DH1" s="9" t="b">
        <f t="shared" si="0"/>
        <v>0</v>
      </c>
      <c r="DI1" s="9" t="b">
        <f t="shared" si="0"/>
        <v>0</v>
      </c>
      <c r="DJ1" s="9" t="b">
        <f t="shared" si="0"/>
        <v>0</v>
      </c>
    </row>
    <row r="2" spans="1:114" ht="15.75" customHeight="1">
      <c r="A2" s="4" t="s">
        <v>29</v>
      </c>
      <c r="B2" s="1" t="s">
        <v>29</v>
      </c>
      <c r="C2" s="3" t="s">
        <v>3</v>
      </c>
      <c r="D2" s="3" t="s">
        <v>30</v>
      </c>
      <c r="E2" s="3" t="s">
        <v>31</v>
      </c>
      <c r="F2" s="2">
        <f>Gerenciamento!$O$12</f>
        <v>200</v>
      </c>
      <c r="G2" s="2">
        <f>Gerenciamento!$O$12</f>
        <v>200</v>
      </c>
      <c r="H2" s="1">
        <v>0</v>
      </c>
      <c r="I2" s="1">
        <v>0</v>
      </c>
      <c r="J2" s="1"/>
      <c r="K2" s="7" t="s">
        <v>32</v>
      </c>
      <c r="L2" s="8">
        <f>Gerenciamento!$O$14</f>
        <v>2</v>
      </c>
      <c r="M2" s="9">
        <v>0</v>
      </c>
      <c r="N2" s="10">
        <f>IF(N$1&gt;$L$2,"",IF(N$1=$L$2,1,IF($L$2-N$1=$L$1-$M2,$L$3^($L$1-$M2),($L$3*N3*O3/(N3+($L$3-1)*O3)))))</f>
        <v>1.0666666666666669</v>
      </c>
      <c r="O2" s="10">
        <f t="shared" ref="O2:DJ2" si="1">IF(O$1&gt;$L$2,"",IF(O$1=$L$2,1,IF($L$2-O$1=$L$1-$M2,$L$3^($L$1-$M2),($L$3*O3*P3/(O3+($L$3-1)*P3)))))</f>
        <v>1.0078740157480317</v>
      </c>
      <c r="P2" s="10">
        <f t="shared" si="1"/>
        <v>1</v>
      </c>
      <c r="Q2" s="10" t="str">
        <f t="shared" si="1"/>
        <v/>
      </c>
      <c r="R2" s="10" t="str">
        <f t="shared" si="1"/>
        <v/>
      </c>
      <c r="S2" s="10" t="str">
        <f t="shared" si="1"/>
        <v/>
      </c>
      <c r="T2" s="10" t="str">
        <f t="shared" si="1"/>
        <v/>
      </c>
      <c r="U2" s="10" t="str">
        <f t="shared" si="1"/>
        <v/>
      </c>
      <c r="V2" s="10" t="str">
        <f t="shared" si="1"/>
        <v/>
      </c>
      <c r="W2" s="10" t="str">
        <f t="shared" si="1"/>
        <v/>
      </c>
      <c r="X2" s="10" t="str">
        <f t="shared" si="1"/>
        <v/>
      </c>
      <c r="Y2" s="10" t="str">
        <f t="shared" si="1"/>
        <v/>
      </c>
      <c r="Z2" s="10" t="str">
        <f t="shared" si="1"/>
        <v/>
      </c>
      <c r="AA2" s="10" t="str">
        <f t="shared" si="1"/>
        <v/>
      </c>
      <c r="AB2" s="10" t="str">
        <f t="shared" si="1"/>
        <v/>
      </c>
      <c r="AC2" s="10" t="str">
        <f t="shared" si="1"/>
        <v/>
      </c>
      <c r="AD2" s="10" t="str">
        <f t="shared" si="1"/>
        <v/>
      </c>
      <c r="AE2" s="10" t="str">
        <f t="shared" si="1"/>
        <v/>
      </c>
      <c r="AF2" s="10" t="str">
        <f t="shared" si="1"/>
        <v/>
      </c>
      <c r="AG2" s="10" t="str">
        <f t="shared" si="1"/>
        <v/>
      </c>
      <c r="AH2" s="10" t="str">
        <f t="shared" si="1"/>
        <v/>
      </c>
      <c r="AI2" s="10" t="str">
        <f t="shared" si="1"/>
        <v/>
      </c>
      <c r="AJ2" s="10" t="str">
        <f t="shared" si="1"/>
        <v/>
      </c>
      <c r="AK2" s="10" t="str">
        <f t="shared" si="1"/>
        <v/>
      </c>
      <c r="AL2" s="10" t="str">
        <f t="shared" si="1"/>
        <v/>
      </c>
      <c r="AM2" s="10" t="str">
        <f t="shared" si="1"/>
        <v/>
      </c>
      <c r="AN2" s="10" t="str">
        <f t="shared" si="1"/>
        <v/>
      </c>
      <c r="AO2" s="10" t="str">
        <f t="shared" si="1"/>
        <v/>
      </c>
      <c r="AP2" s="10" t="str">
        <f t="shared" si="1"/>
        <v/>
      </c>
      <c r="AQ2" s="10" t="str">
        <f t="shared" si="1"/>
        <v/>
      </c>
      <c r="AR2" s="10" t="str">
        <f t="shared" si="1"/>
        <v/>
      </c>
      <c r="AS2" s="10" t="str">
        <f t="shared" si="1"/>
        <v/>
      </c>
      <c r="AT2" s="10" t="str">
        <f t="shared" si="1"/>
        <v/>
      </c>
      <c r="AU2" s="10" t="str">
        <f t="shared" si="1"/>
        <v/>
      </c>
      <c r="AV2" s="10" t="str">
        <f t="shared" si="1"/>
        <v/>
      </c>
      <c r="AW2" s="10" t="str">
        <f t="shared" si="1"/>
        <v/>
      </c>
      <c r="AX2" s="10" t="str">
        <f t="shared" si="1"/>
        <v/>
      </c>
      <c r="AY2" s="10" t="str">
        <f t="shared" si="1"/>
        <v/>
      </c>
      <c r="AZ2" s="10" t="str">
        <f t="shared" si="1"/>
        <v/>
      </c>
      <c r="BA2" s="10" t="str">
        <f t="shared" si="1"/>
        <v/>
      </c>
      <c r="BB2" s="10" t="str">
        <f t="shared" si="1"/>
        <v/>
      </c>
      <c r="BC2" s="10" t="str">
        <f t="shared" si="1"/>
        <v/>
      </c>
      <c r="BD2" s="10" t="str">
        <f t="shared" si="1"/>
        <v/>
      </c>
      <c r="BE2" s="10" t="str">
        <f t="shared" si="1"/>
        <v/>
      </c>
      <c r="BF2" s="10" t="str">
        <f t="shared" si="1"/>
        <v/>
      </c>
      <c r="BG2" s="10" t="str">
        <f t="shared" si="1"/>
        <v/>
      </c>
      <c r="BH2" s="10" t="str">
        <f t="shared" si="1"/>
        <v/>
      </c>
      <c r="BI2" s="10" t="str">
        <f t="shared" si="1"/>
        <v/>
      </c>
      <c r="BJ2" s="10" t="str">
        <f t="shared" si="1"/>
        <v/>
      </c>
      <c r="BK2" s="10" t="str">
        <f t="shared" si="1"/>
        <v/>
      </c>
      <c r="BL2" s="10" t="str">
        <f t="shared" si="1"/>
        <v/>
      </c>
      <c r="BM2" s="10" t="str">
        <f t="shared" si="1"/>
        <v/>
      </c>
      <c r="BN2" s="10" t="str">
        <f t="shared" si="1"/>
        <v/>
      </c>
      <c r="BO2" s="10" t="str">
        <f t="shared" si="1"/>
        <v/>
      </c>
      <c r="BP2" s="10" t="str">
        <f t="shared" si="1"/>
        <v/>
      </c>
      <c r="BQ2" s="10" t="str">
        <f t="shared" si="1"/>
        <v/>
      </c>
      <c r="BR2" s="10" t="str">
        <f t="shared" si="1"/>
        <v/>
      </c>
      <c r="BS2" s="10" t="str">
        <f t="shared" si="1"/>
        <v/>
      </c>
      <c r="BT2" s="10" t="str">
        <f t="shared" si="1"/>
        <v/>
      </c>
      <c r="BU2" s="10" t="str">
        <f t="shared" si="1"/>
        <v/>
      </c>
      <c r="BV2" s="10" t="str">
        <f t="shared" si="1"/>
        <v/>
      </c>
      <c r="BW2" s="10" t="str">
        <f t="shared" si="1"/>
        <v/>
      </c>
      <c r="BX2" s="10" t="str">
        <f t="shared" si="1"/>
        <v/>
      </c>
      <c r="BY2" s="10" t="str">
        <f t="shared" si="1"/>
        <v/>
      </c>
      <c r="BZ2" s="10" t="str">
        <f t="shared" si="1"/>
        <v/>
      </c>
      <c r="CA2" s="10" t="str">
        <f t="shared" si="1"/>
        <v/>
      </c>
      <c r="CB2" s="10" t="str">
        <f t="shared" si="1"/>
        <v/>
      </c>
      <c r="CC2" s="10" t="str">
        <f t="shared" si="1"/>
        <v/>
      </c>
      <c r="CD2" s="10" t="str">
        <f t="shared" si="1"/>
        <v/>
      </c>
      <c r="CE2" s="10" t="str">
        <f t="shared" si="1"/>
        <v/>
      </c>
      <c r="CF2" s="10" t="str">
        <f t="shared" si="1"/>
        <v/>
      </c>
      <c r="CG2" s="10" t="str">
        <f t="shared" si="1"/>
        <v/>
      </c>
      <c r="CH2" s="10" t="str">
        <f t="shared" si="1"/>
        <v/>
      </c>
      <c r="CI2" s="10" t="str">
        <f t="shared" si="1"/>
        <v/>
      </c>
      <c r="CJ2" s="10" t="str">
        <f t="shared" si="1"/>
        <v/>
      </c>
      <c r="CK2" s="10" t="str">
        <f t="shared" si="1"/>
        <v/>
      </c>
      <c r="CL2" s="10" t="str">
        <f t="shared" si="1"/>
        <v/>
      </c>
      <c r="CM2" s="10" t="str">
        <f t="shared" si="1"/>
        <v/>
      </c>
      <c r="CN2" s="10" t="str">
        <f t="shared" si="1"/>
        <v/>
      </c>
      <c r="CO2" s="10" t="str">
        <f t="shared" si="1"/>
        <v/>
      </c>
      <c r="CP2" s="10" t="str">
        <f t="shared" si="1"/>
        <v/>
      </c>
      <c r="CQ2" s="10" t="str">
        <f t="shared" si="1"/>
        <v/>
      </c>
      <c r="CR2" s="10" t="str">
        <f t="shared" si="1"/>
        <v/>
      </c>
      <c r="CS2" s="10" t="str">
        <f t="shared" si="1"/>
        <v/>
      </c>
      <c r="CT2" s="10" t="str">
        <f t="shared" si="1"/>
        <v/>
      </c>
      <c r="CU2" s="10" t="str">
        <f t="shared" si="1"/>
        <v/>
      </c>
      <c r="CV2" s="10" t="str">
        <f t="shared" si="1"/>
        <v/>
      </c>
      <c r="CW2" s="10" t="str">
        <f t="shared" si="1"/>
        <v/>
      </c>
      <c r="CX2" s="10" t="str">
        <f t="shared" si="1"/>
        <v/>
      </c>
      <c r="CY2" s="10" t="str">
        <f t="shared" si="1"/>
        <v/>
      </c>
      <c r="CZ2" s="10" t="str">
        <f t="shared" si="1"/>
        <v/>
      </c>
      <c r="DA2" s="10" t="str">
        <f t="shared" si="1"/>
        <v/>
      </c>
      <c r="DB2" s="10" t="str">
        <f t="shared" si="1"/>
        <v/>
      </c>
      <c r="DC2" s="10" t="str">
        <f t="shared" si="1"/>
        <v/>
      </c>
      <c r="DD2" s="10" t="str">
        <f t="shared" si="1"/>
        <v/>
      </c>
      <c r="DE2" s="10" t="str">
        <f t="shared" si="1"/>
        <v/>
      </c>
      <c r="DF2" s="10" t="str">
        <f t="shared" si="1"/>
        <v/>
      </c>
      <c r="DG2" s="10" t="str">
        <f t="shared" si="1"/>
        <v/>
      </c>
      <c r="DH2" s="10" t="str">
        <f t="shared" si="1"/>
        <v/>
      </c>
      <c r="DI2" s="10" t="str">
        <f t="shared" si="1"/>
        <v/>
      </c>
      <c r="DJ2" s="10" t="str">
        <f t="shared" si="1"/>
        <v/>
      </c>
    </row>
    <row r="3" spans="1:114" ht="15.75" customHeight="1">
      <c r="A3" s="1" t="str">
        <f>Gerenciamento!D3</f>
        <v>W</v>
      </c>
      <c r="B3" s="1">
        <f t="shared" ref="B3:B102" si="2">IF(OR(I2=$L$2,H2=1+$L$1-$L$2),"",IF(A3="l",0,IF(A3="w",1,"")))</f>
        <v>1</v>
      </c>
      <c r="C3" s="2">
        <f>IF(OR(I2&gt;=$L$2,D2=""),"",IF(ISERROR((1-$L$3*INDEX($N$2:$DJ$101,H2+I2+2,I2+2)/(INDEX($N$2:$DJ$101,H2+I2+2,I2+1)+($L$3-1)*(INDEX($N$2:$DJ$101,H2+I2+2,I2+2))))*$F2),$F2,(1-$L$3*INDEX($N$2:$DJ$101,H2+I2+2,I2+2)/(INDEX($N$2:$DJ$101,H2+I2+2,I2+1)+($L$3-1)*(INDEX($N$2:$DJ$101,H2+I2+2,I2+2))))*$F2))</f>
        <v>9.9999999999999645</v>
      </c>
      <c r="D3" s="2">
        <f>IF(I2&gt;=$L$2,"",IF(B3="","",C3*($L$3-1)*B3))</f>
        <v>9.9999999999999645</v>
      </c>
      <c r="E3" s="2">
        <f>IF(B3="","",(D3-(IF((D3+F2)&lt;=G2,D3,(G2-F2))))*(100-$L$5)/100)</f>
        <v>0</v>
      </c>
      <c r="F3" s="2">
        <f>IF(I2&gt;=$L$2,"",IF(B3="","",IF(B3=0,F2-C3,IF(((F2+D3)-G2)&gt;=0,F2+(G2-F2)+((D3-(G2-F2))*$L$5/100),F2+D3))))</f>
        <v>209.99999999999997</v>
      </c>
      <c r="G3" s="5">
        <f>IF(F3&gt;G2,F3,G2)</f>
        <v>209.99999999999997</v>
      </c>
      <c r="H3" s="1">
        <f>IF($L$4=0,IF(I2+B3=$L$2,0,IF(B3=0,H2+1,H2)),IF(F3&gt;=G2,0,IF(B3=0,H2+1,H2)))</f>
        <v>0</v>
      </c>
      <c r="I3" s="1">
        <f>IF($L$4=0,IF(I2+B3=$L$2,0,IF(B3=1,I2+1,I2)),IF(F3&gt;=G2,0,IF(B3=1,I2+1,I2)))</f>
        <v>1</v>
      </c>
      <c r="J3" s="6">
        <f t="shared" ref="J3:J102" si="3">IF(B3="","",IF(ISERROR((B3+I2)/(H2+I2+1)),0,(B3+I2)/(H2+I2+1)))</f>
        <v>1</v>
      </c>
      <c r="K3" s="7" t="s">
        <v>33</v>
      </c>
      <c r="L3" s="11">
        <f>Gerenciamento!$O$15</f>
        <v>2</v>
      </c>
      <c r="M3" s="9">
        <f t="shared" ref="M3:M101" si="4">IF(M2&lt;($L$1-1),M2+1)</f>
        <v>1</v>
      </c>
      <c r="N3" s="10">
        <f>IF(N$1&gt;$L$2,"",IF(N$1=$L$2,1,IF($L$2-N$1=$L$1-$M3,$L$3^($L$1-$M3),($L$3*N4*O4/(N4+($L$3-1)*O4)))))</f>
        <v>1.1228070175438596</v>
      </c>
      <c r="O3" s="10">
        <f t="shared" ref="O3:DJ3" si="5">IF(O$1&gt;$L$2,"",IF(O$1=$L$2,1,IF($L$2-O$1=$L$1-$M3,$L$3^($L$1-$M3),($L$3*O4*P4/(O4+($L$3-1)*P4)))))</f>
        <v>1.015873015873016</v>
      </c>
      <c r="P3" s="10">
        <f t="shared" si="5"/>
        <v>1</v>
      </c>
      <c r="Q3" s="10" t="str">
        <f t="shared" si="5"/>
        <v/>
      </c>
      <c r="R3" s="10" t="str">
        <f t="shared" si="5"/>
        <v/>
      </c>
      <c r="S3" s="10" t="str">
        <f t="shared" si="5"/>
        <v/>
      </c>
      <c r="T3" s="10" t="str">
        <f t="shared" si="5"/>
        <v/>
      </c>
      <c r="U3" s="10" t="str">
        <f t="shared" si="5"/>
        <v/>
      </c>
      <c r="V3" s="10" t="str">
        <f t="shared" si="5"/>
        <v/>
      </c>
      <c r="W3" s="10" t="str">
        <f t="shared" si="5"/>
        <v/>
      </c>
      <c r="X3" s="10" t="str">
        <f t="shared" si="5"/>
        <v/>
      </c>
      <c r="Y3" s="10" t="str">
        <f t="shared" si="5"/>
        <v/>
      </c>
      <c r="Z3" s="10" t="str">
        <f t="shared" si="5"/>
        <v/>
      </c>
      <c r="AA3" s="10" t="str">
        <f t="shared" si="5"/>
        <v/>
      </c>
      <c r="AB3" s="10" t="str">
        <f t="shared" si="5"/>
        <v/>
      </c>
      <c r="AC3" s="10" t="str">
        <f t="shared" si="5"/>
        <v/>
      </c>
      <c r="AD3" s="10" t="str">
        <f t="shared" si="5"/>
        <v/>
      </c>
      <c r="AE3" s="10" t="str">
        <f t="shared" si="5"/>
        <v/>
      </c>
      <c r="AF3" s="10" t="str">
        <f t="shared" si="5"/>
        <v/>
      </c>
      <c r="AG3" s="10" t="str">
        <f t="shared" si="5"/>
        <v/>
      </c>
      <c r="AH3" s="10" t="str">
        <f t="shared" si="5"/>
        <v/>
      </c>
      <c r="AI3" s="10" t="str">
        <f t="shared" si="5"/>
        <v/>
      </c>
      <c r="AJ3" s="10" t="str">
        <f t="shared" si="5"/>
        <v/>
      </c>
      <c r="AK3" s="10" t="str">
        <f t="shared" si="5"/>
        <v/>
      </c>
      <c r="AL3" s="10" t="str">
        <f t="shared" si="5"/>
        <v/>
      </c>
      <c r="AM3" s="10" t="str">
        <f t="shared" si="5"/>
        <v/>
      </c>
      <c r="AN3" s="10" t="str">
        <f t="shared" si="5"/>
        <v/>
      </c>
      <c r="AO3" s="10" t="str">
        <f t="shared" si="5"/>
        <v/>
      </c>
      <c r="AP3" s="10" t="str">
        <f t="shared" si="5"/>
        <v/>
      </c>
      <c r="AQ3" s="10" t="str">
        <f t="shared" si="5"/>
        <v/>
      </c>
      <c r="AR3" s="10" t="str">
        <f t="shared" si="5"/>
        <v/>
      </c>
      <c r="AS3" s="10" t="str">
        <f t="shared" si="5"/>
        <v/>
      </c>
      <c r="AT3" s="10" t="str">
        <f t="shared" si="5"/>
        <v/>
      </c>
      <c r="AU3" s="10" t="str">
        <f t="shared" si="5"/>
        <v/>
      </c>
      <c r="AV3" s="10" t="str">
        <f t="shared" si="5"/>
        <v/>
      </c>
      <c r="AW3" s="10" t="str">
        <f t="shared" si="5"/>
        <v/>
      </c>
      <c r="AX3" s="10" t="str">
        <f t="shared" si="5"/>
        <v/>
      </c>
      <c r="AY3" s="10" t="str">
        <f t="shared" si="5"/>
        <v/>
      </c>
      <c r="AZ3" s="10" t="str">
        <f t="shared" si="5"/>
        <v/>
      </c>
      <c r="BA3" s="10" t="str">
        <f t="shared" si="5"/>
        <v/>
      </c>
      <c r="BB3" s="10" t="str">
        <f t="shared" si="5"/>
        <v/>
      </c>
      <c r="BC3" s="10" t="str">
        <f t="shared" si="5"/>
        <v/>
      </c>
      <c r="BD3" s="10" t="str">
        <f t="shared" si="5"/>
        <v/>
      </c>
      <c r="BE3" s="10" t="str">
        <f t="shared" si="5"/>
        <v/>
      </c>
      <c r="BF3" s="10" t="str">
        <f t="shared" si="5"/>
        <v/>
      </c>
      <c r="BG3" s="10" t="str">
        <f t="shared" si="5"/>
        <v/>
      </c>
      <c r="BH3" s="10" t="str">
        <f t="shared" si="5"/>
        <v/>
      </c>
      <c r="BI3" s="10" t="str">
        <f t="shared" si="5"/>
        <v/>
      </c>
      <c r="BJ3" s="10" t="str">
        <f t="shared" si="5"/>
        <v/>
      </c>
      <c r="BK3" s="10" t="str">
        <f t="shared" si="5"/>
        <v/>
      </c>
      <c r="BL3" s="10" t="str">
        <f t="shared" si="5"/>
        <v/>
      </c>
      <c r="BM3" s="10" t="str">
        <f t="shared" si="5"/>
        <v/>
      </c>
      <c r="BN3" s="10" t="str">
        <f t="shared" si="5"/>
        <v/>
      </c>
      <c r="BO3" s="10" t="str">
        <f t="shared" si="5"/>
        <v/>
      </c>
      <c r="BP3" s="10" t="str">
        <f t="shared" si="5"/>
        <v/>
      </c>
      <c r="BQ3" s="10" t="str">
        <f t="shared" si="5"/>
        <v/>
      </c>
      <c r="BR3" s="10" t="str">
        <f t="shared" si="5"/>
        <v/>
      </c>
      <c r="BS3" s="10" t="str">
        <f t="shared" si="5"/>
        <v/>
      </c>
      <c r="BT3" s="10" t="str">
        <f t="shared" si="5"/>
        <v/>
      </c>
      <c r="BU3" s="10" t="str">
        <f t="shared" si="5"/>
        <v/>
      </c>
      <c r="BV3" s="10" t="str">
        <f t="shared" si="5"/>
        <v/>
      </c>
      <c r="BW3" s="10" t="str">
        <f t="shared" si="5"/>
        <v/>
      </c>
      <c r="BX3" s="10" t="str">
        <f t="shared" si="5"/>
        <v/>
      </c>
      <c r="BY3" s="10" t="str">
        <f t="shared" si="5"/>
        <v/>
      </c>
      <c r="BZ3" s="10" t="str">
        <f t="shared" si="5"/>
        <v/>
      </c>
      <c r="CA3" s="10" t="str">
        <f t="shared" si="5"/>
        <v/>
      </c>
      <c r="CB3" s="10" t="str">
        <f t="shared" si="5"/>
        <v/>
      </c>
      <c r="CC3" s="10" t="str">
        <f t="shared" si="5"/>
        <v/>
      </c>
      <c r="CD3" s="10" t="str">
        <f t="shared" si="5"/>
        <v/>
      </c>
      <c r="CE3" s="10" t="str">
        <f t="shared" si="5"/>
        <v/>
      </c>
      <c r="CF3" s="10" t="str">
        <f t="shared" si="5"/>
        <v/>
      </c>
      <c r="CG3" s="10" t="str">
        <f t="shared" si="5"/>
        <v/>
      </c>
      <c r="CH3" s="10" t="str">
        <f t="shared" si="5"/>
        <v/>
      </c>
      <c r="CI3" s="10" t="str">
        <f t="shared" si="5"/>
        <v/>
      </c>
      <c r="CJ3" s="10" t="str">
        <f t="shared" si="5"/>
        <v/>
      </c>
      <c r="CK3" s="10" t="str">
        <f t="shared" si="5"/>
        <v/>
      </c>
      <c r="CL3" s="10" t="str">
        <f t="shared" si="5"/>
        <v/>
      </c>
      <c r="CM3" s="10" t="str">
        <f t="shared" si="5"/>
        <v/>
      </c>
      <c r="CN3" s="10" t="str">
        <f t="shared" si="5"/>
        <v/>
      </c>
      <c r="CO3" s="10" t="str">
        <f t="shared" si="5"/>
        <v/>
      </c>
      <c r="CP3" s="10" t="str">
        <f t="shared" si="5"/>
        <v/>
      </c>
      <c r="CQ3" s="10" t="str">
        <f t="shared" si="5"/>
        <v/>
      </c>
      <c r="CR3" s="10" t="str">
        <f t="shared" si="5"/>
        <v/>
      </c>
      <c r="CS3" s="10" t="str">
        <f t="shared" si="5"/>
        <v/>
      </c>
      <c r="CT3" s="10" t="str">
        <f t="shared" si="5"/>
        <v/>
      </c>
      <c r="CU3" s="10" t="str">
        <f t="shared" si="5"/>
        <v/>
      </c>
      <c r="CV3" s="10" t="str">
        <f t="shared" si="5"/>
        <v/>
      </c>
      <c r="CW3" s="10" t="str">
        <f t="shared" si="5"/>
        <v/>
      </c>
      <c r="CX3" s="10" t="str">
        <f t="shared" si="5"/>
        <v/>
      </c>
      <c r="CY3" s="10" t="str">
        <f t="shared" si="5"/>
        <v/>
      </c>
      <c r="CZ3" s="10" t="str">
        <f t="shared" si="5"/>
        <v/>
      </c>
      <c r="DA3" s="10" t="str">
        <f t="shared" si="5"/>
        <v/>
      </c>
      <c r="DB3" s="10" t="str">
        <f t="shared" si="5"/>
        <v/>
      </c>
      <c r="DC3" s="10" t="str">
        <f t="shared" si="5"/>
        <v/>
      </c>
      <c r="DD3" s="10" t="str">
        <f t="shared" si="5"/>
        <v/>
      </c>
      <c r="DE3" s="10" t="str">
        <f t="shared" si="5"/>
        <v/>
      </c>
      <c r="DF3" s="10" t="str">
        <f t="shared" si="5"/>
        <v/>
      </c>
      <c r="DG3" s="10" t="str">
        <f t="shared" si="5"/>
        <v/>
      </c>
      <c r="DH3" s="10" t="str">
        <f t="shared" si="5"/>
        <v/>
      </c>
      <c r="DI3" s="10" t="str">
        <f t="shared" si="5"/>
        <v/>
      </c>
      <c r="DJ3" s="10" t="str">
        <f t="shared" si="5"/>
        <v/>
      </c>
    </row>
    <row r="4" spans="1:114" ht="15.75" customHeight="1">
      <c r="A4" s="1" t="str">
        <f>Gerenciamento!D4</f>
        <v>L</v>
      </c>
      <c r="B4" s="1">
        <f>IF(OR(I3=$L$2,H3=1+$L$1-$L$2),"",IF(A4="l",0,IF(A4="w",1,"")))</f>
        <v>0</v>
      </c>
      <c r="C4" s="2">
        <f t="shared" ref="C4:C102" si="6">IF(OR(I3&gt;=$L$2,D3=""),"",IF(ISERROR((1-$L$3*INDEX($N$2:$DJ$101,H3+I3+2,I3+2)/(INDEX($N$2:$DJ$101,H3+I3+2,I3+1)+($L$3-1)*(INDEX($N$2:$DJ$101,H3+I3+2,I3+2))))*$F3),$F3,(1-$L$3*INDEX($N$2:$DJ$101,H3+I3+2,I3+2)/(INDEX($N$2:$DJ$101,H3+I3+2,I3+1)+($L$3-1)*(INDEX($N$2:$DJ$101,H3+I3+2,I3+2))))*$F3))</f>
        <v>3.333333333333321</v>
      </c>
      <c r="D4" s="2">
        <f t="shared" ref="D4:D102" si="7">IF(I3&gt;=$L$2,"",IF(B4="","",C4*($L$3-1)*B4))</f>
        <v>0</v>
      </c>
      <c r="E4" s="2">
        <f t="shared" ref="E4:E102" si="8">IF(B4="","",(D4-(IF((D4+F3)&lt;=G3,D4,(G3-F3))))*(100-$L$5)/100)</f>
        <v>0</v>
      </c>
      <c r="F4" s="2">
        <f t="shared" ref="F4:F102" si="9">IF(I3&gt;=$L$2,"",IF(B4="","",IF(B4=0,F3-C4,IF(((F3+D4)-G3)&gt;=0,F3+(G3-F3)+((D4-(G3-F3))*$L$5/100),F3+D4))))</f>
        <v>206.66666666666666</v>
      </c>
      <c r="G4" s="5">
        <f>IF(F4&gt;G3,F4,G3)</f>
        <v>209.99999999999997</v>
      </c>
      <c r="H4" s="1">
        <f t="shared" ref="H4:H102" si="10">IF($L$4=0,IF(I3+B4=$L$2,0,IF(B4=0,H3+1,H3)),IF(F4&gt;=G3,0,IF(B4=0,H3+1,H3)))</f>
        <v>1</v>
      </c>
      <c r="I4" s="1">
        <f>IF($L$4=0,IF(I3+B4=$L$2,0,IF(B4=1,I3+1,I3)),IF(F4&gt;=G3,0,IF(B4=1,I3+1,I3)))</f>
        <v>1</v>
      </c>
      <c r="J4" s="6">
        <f t="shared" si="3"/>
        <v>0.5</v>
      </c>
      <c r="K4" s="10" t="s">
        <v>34</v>
      </c>
      <c r="L4" s="10">
        <f>IF(Gerenciamento!O16="Normal",0,1)</f>
        <v>0</v>
      </c>
      <c r="M4" s="9">
        <f t="shared" si="4"/>
        <v>2</v>
      </c>
      <c r="N4" s="10">
        <f>IF(N$1&gt;$L$2,"",IF(N$1=$L$2,1,IF($L$2-N$1=$L$1-$M4,$L$3^($L$1-$M4),($L$3*N5*O5/(N5+($L$3-1)*O5)))))</f>
        <v>1.2307692307692306</v>
      </c>
      <c r="O4" s="10">
        <f t="shared" ref="O4:DJ4" si="11">IF(O$1&gt;$L$2,"",IF(O$1=$L$2,1,IF($L$2-O$1=$L$1-$M4,$L$3^($L$1-$M4),($L$3*O5*P5/(O5+($L$3-1)*P5)))))</f>
        <v>1.0322580645161292</v>
      </c>
      <c r="P4" s="10">
        <f t="shared" si="11"/>
        <v>1</v>
      </c>
      <c r="Q4" s="10" t="str">
        <f t="shared" si="11"/>
        <v/>
      </c>
      <c r="R4" s="10" t="str">
        <f t="shared" si="11"/>
        <v/>
      </c>
      <c r="S4" s="10" t="str">
        <f t="shared" si="11"/>
        <v/>
      </c>
      <c r="T4" s="10" t="str">
        <f t="shared" si="11"/>
        <v/>
      </c>
      <c r="U4" s="10" t="str">
        <f t="shared" si="11"/>
        <v/>
      </c>
      <c r="V4" s="10" t="str">
        <f t="shared" si="11"/>
        <v/>
      </c>
      <c r="W4" s="10" t="str">
        <f t="shared" si="11"/>
        <v/>
      </c>
      <c r="X4" s="10" t="str">
        <f t="shared" si="11"/>
        <v/>
      </c>
      <c r="Y4" s="10" t="str">
        <f t="shared" si="11"/>
        <v/>
      </c>
      <c r="Z4" s="10" t="str">
        <f t="shared" si="11"/>
        <v/>
      </c>
      <c r="AA4" s="10" t="str">
        <f t="shared" si="11"/>
        <v/>
      </c>
      <c r="AB4" s="10" t="str">
        <f t="shared" si="11"/>
        <v/>
      </c>
      <c r="AC4" s="10" t="str">
        <f t="shared" si="11"/>
        <v/>
      </c>
      <c r="AD4" s="10" t="str">
        <f t="shared" si="11"/>
        <v/>
      </c>
      <c r="AE4" s="10" t="str">
        <f t="shared" si="11"/>
        <v/>
      </c>
      <c r="AF4" s="10" t="str">
        <f t="shared" si="11"/>
        <v/>
      </c>
      <c r="AG4" s="10" t="str">
        <f t="shared" si="11"/>
        <v/>
      </c>
      <c r="AH4" s="10" t="str">
        <f t="shared" si="11"/>
        <v/>
      </c>
      <c r="AI4" s="10" t="str">
        <f t="shared" si="11"/>
        <v/>
      </c>
      <c r="AJ4" s="10" t="str">
        <f t="shared" si="11"/>
        <v/>
      </c>
      <c r="AK4" s="10" t="str">
        <f t="shared" si="11"/>
        <v/>
      </c>
      <c r="AL4" s="10" t="str">
        <f t="shared" si="11"/>
        <v/>
      </c>
      <c r="AM4" s="10" t="str">
        <f t="shared" si="11"/>
        <v/>
      </c>
      <c r="AN4" s="10" t="str">
        <f t="shared" si="11"/>
        <v/>
      </c>
      <c r="AO4" s="10" t="str">
        <f t="shared" si="11"/>
        <v/>
      </c>
      <c r="AP4" s="10" t="str">
        <f t="shared" si="11"/>
        <v/>
      </c>
      <c r="AQ4" s="10" t="str">
        <f t="shared" si="11"/>
        <v/>
      </c>
      <c r="AR4" s="10" t="str">
        <f t="shared" si="11"/>
        <v/>
      </c>
      <c r="AS4" s="10" t="str">
        <f t="shared" si="11"/>
        <v/>
      </c>
      <c r="AT4" s="10" t="str">
        <f t="shared" si="11"/>
        <v/>
      </c>
      <c r="AU4" s="10" t="str">
        <f t="shared" si="11"/>
        <v/>
      </c>
      <c r="AV4" s="10" t="str">
        <f t="shared" si="11"/>
        <v/>
      </c>
      <c r="AW4" s="10" t="str">
        <f t="shared" si="11"/>
        <v/>
      </c>
      <c r="AX4" s="10" t="str">
        <f t="shared" si="11"/>
        <v/>
      </c>
      <c r="AY4" s="10" t="str">
        <f t="shared" si="11"/>
        <v/>
      </c>
      <c r="AZ4" s="10" t="str">
        <f t="shared" si="11"/>
        <v/>
      </c>
      <c r="BA4" s="10" t="str">
        <f t="shared" si="11"/>
        <v/>
      </c>
      <c r="BB4" s="10" t="str">
        <f t="shared" si="11"/>
        <v/>
      </c>
      <c r="BC4" s="10" t="str">
        <f t="shared" si="11"/>
        <v/>
      </c>
      <c r="BD4" s="10" t="str">
        <f t="shared" si="11"/>
        <v/>
      </c>
      <c r="BE4" s="10" t="str">
        <f t="shared" si="11"/>
        <v/>
      </c>
      <c r="BF4" s="10" t="str">
        <f t="shared" si="11"/>
        <v/>
      </c>
      <c r="BG4" s="10" t="str">
        <f t="shared" si="11"/>
        <v/>
      </c>
      <c r="BH4" s="10" t="str">
        <f t="shared" si="11"/>
        <v/>
      </c>
      <c r="BI4" s="10" t="str">
        <f t="shared" si="11"/>
        <v/>
      </c>
      <c r="BJ4" s="10" t="str">
        <f t="shared" si="11"/>
        <v/>
      </c>
      <c r="BK4" s="10" t="str">
        <f t="shared" si="11"/>
        <v/>
      </c>
      <c r="BL4" s="10" t="str">
        <f t="shared" si="11"/>
        <v/>
      </c>
      <c r="BM4" s="10" t="str">
        <f t="shared" si="11"/>
        <v/>
      </c>
      <c r="BN4" s="10" t="str">
        <f t="shared" si="11"/>
        <v/>
      </c>
      <c r="BO4" s="10" t="str">
        <f t="shared" si="11"/>
        <v/>
      </c>
      <c r="BP4" s="10" t="str">
        <f t="shared" si="11"/>
        <v/>
      </c>
      <c r="BQ4" s="10" t="str">
        <f t="shared" si="11"/>
        <v/>
      </c>
      <c r="BR4" s="10" t="str">
        <f t="shared" si="11"/>
        <v/>
      </c>
      <c r="BS4" s="10" t="str">
        <f t="shared" si="11"/>
        <v/>
      </c>
      <c r="BT4" s="10" t="str">
        <f t="shared" si="11"/>
        <v/>
      </c>
      <c r="BU4" s="10" t="str">
        <f t="shared" si="11"/>
        <v/>
      </c>
      <c r="BV4" s="10" t="str">
        <f t="shared" si="11"/>
        <v/>
      </c>
      <c r="BW4" s="10" t="str">
        <f t="shared" si="11"/>
        <v/>
      </c>
      <c r="BX4" s="10" t="str">
        <f t="shared" si="11"/>
        <v/>
      </c>
      <c r="BY4" s="10" t="str">
        <f t="shared" si="11"/>
        <v/>
      </c>
      <c r="BZ4" s="10" t="str">
        <f t="shared" si="11"/>
        <v/>
      </c>
      <c r="CA4" s="10" t="str">
        <f t="shared" si="11"/>
        <v/>
      </c>
      <c r="CB4" s="10" t="str">
        <f t="shared" si="11"/>
        <v/>
      </c>
      <c r="CC4" s="10" t="str">
        <f t="shared" si="11"/>
        <v/>
      </c>
      <c r="CD4" s="10" t="str">
        <f t="shared" si="11"/>
        <v/>
      </c>
      <c r="CE4" s="10" t="str">
        <f t="shared" si="11"/>
        <v/>
      </c>
      <c r="CF4" s="10" t="str">
        <f t="shared" si="11"/>
        <v/>
      </c>
      <c r="CG4" s="10" t="str">
        <f t="shared" si="11"/>
        <v/>
      </c>
      <c r="CH4" s="10" t="str">
        <f t="shared" si="11"/>
        <v/>
      </c>
      <c r="CI4" s="10" t="str">
        <f t="shared" si="11"/>
        <v/>
      </c>
      <c r="CJ4" s="10" t="str">
        <f t="shared" si="11"/>
        <v/>
      </c>
      <c r="CK4" s="10" t="str">
        <f t="shared" si="11"/>
        <v/>
      </c>
      <c r="CL4" s="10" t="str">
        <f t="shared" si="11"/>
        <v/>
      </c>
      <c r="CM4" s="10" t="str">
        <f t="shared" si="11"/>
        <v/>
      </c>
      <c r="CN4" s="10" t="str">
        <f t="shared" si="11"/>
        <v/>
      </c>
      <c r="CO4" s="10" t="str">
        <f t="shared" si="11"/>
        <v/>
      </c>
      <c r="CP4" s="10" t="str">
        <f t="shared" si="11"/>
        <v/>
      </c>
      <c r="CQ4" s="10" t="str">
        <f t="shared" si="11"/>
        <v/>
      </c>
      <c r="CR4" s="10" t="str">
        <f t="shared" si="11"/>
        <v/>
      </c>
      <c r="CS4" s="10" t="str">
        <f t="shared" si="11"/>
        <v/>
      </c>
      <c r="CT4" s="10" t="str">
        <f t="shared" si="11"/>
        <v/>
      </c>
      <c r="CU4" s="10" t="str">
        <f t="shared" si="11"/>
        <v/>
      </c>
      <c r="CV4" s="10" t="str">
        <f t="shared" si="11"/>
        <v/>
      </c>
      <c r="CW4" s="10" t="str">
        <f t="shared" si="11"/>
        <v/>
      </c>
      <c r="CX4" s="10" t="str">
        <f t="shared" si="11"/>
        <v/>
      </c>
      <c r="CY4" s="10" t="str">
        <f t="shared" si="11"/>
        <v/>
      </c>
      <c r="CZ4" s="10" t="str">
        <f t="shared" si="11"/>
        <v/>
      </c>
      <c r="DA4" s="10" t="str">
        <f t="shared" si="11"/>
        <v/>
      </c>
      <c r="DB4" s="10" t="str">
        <f t="shared" si="11"/>
        <v/>
      </c>
      <c r="DC4" s="10" t="str">
        <f t="shared" si="11"/>
        <v/>
      </c>
      <c r="DD4" s="10" t="str">
        <f t="shared" si="11"/>
        <v/>
      </c>
      <c r="DE4" s="10" t="str">
        <f t="shared" si="11"/>
        <v/>
      </c>
      <c r="DF4" s="10" t="str">
        <f t="shared" si="11"/>
        <v/>
      </c>
      <c r="DG4" s="10" t="str">
        <f t="shared" si="11"/>
        <v/>
      </c>
      <c r="DH4" s="10" t="str">
        <f t="shared" si="11"/>
        <v/>
      </c>
      <c r="DI4" s="10" t="str">
        <f t="shared" si="11"/>
        <v/>
      </c>
      <c r="DJ4" s="10" t="str">
        <f t="shared" si="11"/>
        <v/>
      </c>
    </row>
    <row r="5" spans="1:114" ht="15.75" customHeight="1">
      <c r="A5" s="1">
        <f>Gerenciamento!D5</f>
        <v>0</v>
      </c>
      <c r="B5" s="1" t="str">
        <f t="shared" si="2"/>
        <v/>
      </c>
      <c r="C5" s="2">
        <f t="shared" si="6"/>
        <v>6.6666666666666377</v>
      </c>
      <c r="D5" s="2" t="str">
        <f t="shared" si="7"/>
        <v/>
      </c>
      <c r="E5" s="2" t="str">
        <f t="shared" si="8"/>
        <v/>
      </c>
      <c r="F5" s="2" t="str">
        <f t="shared" si="9"/>
        <v/>
      </c>
      <c r="G5" s="5" t="str">
        <f>IF(F5&gt;G4,F5,G4)</f>
        <v/>
      </c>
      <c r="H5" s="1" t="e">
        <f t="shared" si="10"/>
        <v>#VALUE!</v>
      </c>
      <c r="I5" s="1" t="e">
        <f t="shared" ref="I5:I102" si="12">IF($L$4=0,IF(I4+B5=$L$2,0,IF(B5=1,I4+1,I4)),IF(F5&gt;=G4,0,IF(B5=1,I4+1,I4)))</f>
        <v>#VALUE!</v>
      </c>
      <c r="J5" s="6" t="str">
        <f t="shared" si="3"/>
        <v/>
      </c>
      <c r="K5" s="12" t="s">
        <v>35</v>
      </c>
      <c r="L5" s="13">
        <v>100</v>
      </c>
      <c r="M5" s="9">
        <f t="shared" si="4"/>
        <v>3</v>
      </c>
      <c r="N5" s="10">
        <f t="shared" ref="N5:DJ5" si="13">IF(N$1&gt;$L$2,"",IF(N$1=$L$2,1,IF($L$2-N$1=$L$1-$M5,$L$3^($L$1-$M5),($L$3*N6*O6/(N6+($L$3-1)*O6)))))</f>
        <v>1.4545454545454546</v>
      </c>
      <c r="O5" s="10">
        <f t="shared" si="13"/>
        <v>1.0666666666666667</v>
      </c>
      <c r="P5" s="10">
        <f t="shared" si="13"/>
        <v>1</v>
      </c>
      <c r="Q5" s="10" t="str">
        <f t="shared" si="13"/>
        <v/>
      </c>
      <c r="R5" s="10" t="str">
        <f t="shared" si="13"/>
        <v/>
      </c>
      <c r="S5" s="10" t="str">
        <f t="shared" si="13"/>
        <v/>
      </c>
      <c r="T5" s="10" t="str">
        <f t="shared" si="13"/>
        <v/>
      </c>
      <c r="U5" s="10" t="str">
        <f t="shared" si="13"/>
        <v/>
      </c>
      <c r="V5" s="10" t="str">
        <f t="shared" si="13"/>
        <v/>
      </c>
      <c r="W5" s="10" t="str">
        <f t="shared" si="13"/>
        <v/>
      </c>
      <c r="X5" s="10" t="str">
        <f t="shared" si="13"/>
        <v/>
      </c>
      <c r="Y5" s="10" t="str">
        <f t="shared" si="13"/>
        <v/>
      </c>
      <c r="Z5" s="10" t="str">
        <f t="shared" si="13"/>
        <v/>
      </c>
      <c r="AA5" s="10" t="str">
        <f t="shared" si="13"/>
        <v/>
      </c>
      <c r="AB5" s="10" t="str">
        <f t="shared" si="13"/>
        <v/>
      </c>
      <c r="AC5" s="10" t="str">
        <f t="shared" si="13"/>
        <v/>
      </c>
      <c r="AD5" s="10" t="str">
        <f t="shared" si="13"/>
        <v/>
      </c>
      <c r="AE5" s="10" t="str">
        <f t="shared" si="13"/>
        <v/>
      </c>
      <c r="AF5" s="10" t="str">
        <f t="shared" si="13"/>
        <v/>
      </c>
      <c r="AG5" s="10" t="str">
        <f t="shared" si="13"/>
        <v/>
      </c>
      <c r="AH5" s="10" t="str">
        <f t="shared" si="13"/>
        <v/>
      </c>
      <c r="AI5" s="10" t="str">
        <f t="shared" si="13"/>
        <v/>
      </c>
      <c r="AJ5" s="10" t="str">
        <f t="shared" si="13"/>
        <v/>
      </c>
      <c r="AK5" s="10" t="str">
        <f t="shared" si="13"/>
        <v/>
      </c>
      <c r="AL5" s="10" t="str">
        <f t="shared" si="13"/>
        <v/>
      </c>
      <c r="AM5" s="10" t="str">
        <f t="shared" si="13"/>
        <v/>
      </c>
      <c r="AN5" s="10" t="str">
        <f t="shared" si="13"/>
        <v/>
      </c>
      <c r="AO5" s="10" t="str">
        <f t="shared" si="13"/>
        <v/>
      </c>
      <c r="AP5" s="10" t="str">
        <f t="shared" si="13"/>
        <v/>
      </c>
      <c r="AQ5" s="10" t="str">
        <f t="shared" si="13"/>
        <v/>
      </c>
      <c r="AR5" s="10" t="str">
        <f t="shared" si="13"/>
        <v/>
      </c>
      <c r="AS5" s="10" t="str">
        <f t="shared" si="13"/>
        <v/>
      </c>
      <c r="AT5" s="10" t="str">
        <f t="shared" si="13"/>
        <v/>
      </c>
      <c r="AU5" s="10" t="str">
        <f t="shared" si="13"/>
        <v/>
      </c>
      <c r="AV5" s="10" t="str">
        <f t="shared" si="13"/>
        <v/>
      </c>
      <c r="AW5" s="10" t="str">
        <f t="shared" si="13"/>
        <v/>
      </c>
      <c r="AX5" s="10" t="str">
        <f t="shared" si="13"/>
        <v/>
      </c>
      <c r="AY5" s="10" t="str">
        <f t="shared" si="13"/>
        <v/>
      </c>
      <c r="AZ5" s="10" t="str">
        <f t="shared" si="13"/>
        <v/>
      </c>
      <c r="BA5" s="10" t="str">
        <f t="shared" si="13"/>
        <v/>
      </c>
      <c r="BB5" s="10" t="str">
        <f t="shared" si="13"/>
        <v/>
      </c>
      <c r="BC5" s="10" t="str">
        <f t="shared" si="13"/>
        <v/>
      </c>
      <c r="BD5" s="10" t="str">
        <f t="shared" si="13"/>
        <v/>
      </c>
      <c r="BE5" s="10" t="str">
        <f t="shared" si="13"/>
        <v/>
      </c>
      <c r="BF5" s="10" t="str">
        <f t="shared" si="13"/>
        <v/>
      </c>
      <c r="BG5" s="10" t="str">
        <f t="shared" si="13"/>
        <v/>
      </c>
      <c r="BH5" s="10" t="str">
        <f t="shared" si="13"/>
        <v/>
      </c>
      <c r="BI5" s="10" t="str">
        <f t="shared" si="13"/>
        <v/>
      </c>
      <c r="BJ5" s="10" t="str">
        <f t="shared" si="13"/>
        <v/>
      </c>
      <c r="BK5" s="10" t="str">
        <f t="shared" si="13"/>
        <v/>
      </c>
      <c r="BL5" s="10" t="str">
        <f t="shared" si="13"/>
        <v/>
      </c>
      <c r="BM5" s="10" t="str">
        <f t="shared" si="13"/>
        <v/>
      </c>
      <c r="BN5" s="10" t="str">
        <f t="shared" si="13"/>
        <v/>
      </c>
      <c r="BO5" s="10" t="str">
        <f t="shared" si="13"/>
        <v/>
      </c>
      <c r="BP5" s="10" t="str">
        <f t="shared" si="13"/>
        <v/>
      </c>
      <c r="BQ5" s="10" t="str">
        <f t="shared" si="13"/>
        <v/>
      </c>
      <c r="BR5" s="10" t="str">
        <f t="shared" si="13"/>
        <v/>
      </c>
      <c r="BS5" s="10" t="str">
        <f t="shared" si="13"/>
        <v/>
      </c>
      <c r="BT5" s="10" t="str">
        <f t="shared" si="13"/>
        <v/>
      </c>
      <c r="BU5" s="10" t="str">
        <f t="shared" si="13"/>
        <v/>
      </c>
      <c r="BV5" s="10" t="str">
        <f t="shared" si="13"/>
        <v/>
      </c>
      <c r="BW5" s="10" t="str">
        <f t="shared" si="13"/>
        <v/>
      </c>
      <c r="BX5" s="10" t="str">
        <f t="shared" si="13"/>
        <v/>
      </c>
      <c r="BY5" s="10" t="str">
        <f t="shared" si="13"/>
        <v/>
      </c>
      <c r="BZ5" s="10" t="str">
        <f t="shared" si="13"/>
        <v/>
      </c>
      <c r="CA5" s="10" t="str">
        <f t="shared" si="13"/>
        <v/>
      </c>
      <c r="CB5" s="10" t="str">
        <f t="shared" si="13"/>
        <v/>
      </c>
      <c r="CC5" s="10" t="str">
        <f t="shared" si="13"/>
        <v/>
      </c>
      <c r="CD5" s="10" t="str">
        <f t="shared" si="13"/>
        <v/>
      </c>
      <c r="CE5" s="10" t="str">
        <f t="shared" si="13"/>
        <v/>
      </c>
      <c r="CF5" s="10" t="str">
        <f t="shared" si="13"/>
        <v/>
      </c>
      <c r="CG5" s="10" t="str">
        <f t="shared" si="13"/>
        <v/>
      </c>
      <c r="CH5" s="10" t="str">
        <f t="shared" si="13"/>
        <v/>
      </c>
      <c r="CI5" s="10" t="str">
        <f t="shared" si="13"/>
        <v/>
      </c>
      <c r="CJ5" s="10" t="str">
        <f t="shared" si="13"/>
        <v/>
      </c>
      <c r="CK5" s="10" t="str">
        <f t="shared" si="13"/>
        <v/>
      </c>
      <c r="CL5" s="10" t="str">
        <f t="shared" si="13"/>
        <v/>
      </c>
      <c r="CM5" s="10" t="str">
        <f t="shared" si="13"/>
        <v/>
      </c>
      <c r="CN5" s="10" t="str">
        <f t="shared" si="13"/>
        <v/>
      </c>
      <c r="CO5" s="10" t="str">
        <f t="shared" si="13"/>
        <v/>
      </c>
      <c r="CP5" s="10" t="str">
        <f t="shared" si="13"/>
        <v/>
      </c>
      <c r="CQ5" s="10" t="str">
        <f t="shared" si="13"/>
        <v/>
      </c>
      <c r="CR5" s="10" t="str">
        <f t="shared" si="13"/>
        <v/>
      </c>
      <c r="CS5" s="10" t="str">
        <f t="shared" si="13"/>
        <v/>
      </c>
      <c r="CT5" s="10" t="str">
        <f t="shared" si="13"/>
        <v/>
      </c>
      <c r="CU5" s="10" t="str">
        <f t="shared" si="13"/>
        <v/>
      </c>
      <c r="CV5" s="10" t="str">
        <f t="shared" si="13"/>
        <v/>
      </c>
      <c r="CW5" s="10" t="str">
        <f t="shared" si="13"/>
        <v/>
      </c>
      <c r="CX5" s="10" t="str">
        <f t="shared" si="13"/>
        <v/>
      </c>
      <c r="CY5" s="10" t="str">
        <f t="shared" si="13"/>
        <v/>
      </c>
      <c r="CZ5" s="10" t="str">
        <f t="shared" si="13"/>
        <v/>
      </c>
      <c r="DA5" s="10" t="str">
        <f t="shared" si="13"/>
        <v/>
      </c>
      <c r="DB5" s="10" t="str">
        <f t="shared" si="13"/>
        <v/>
      </c>
      <c r="DC5" s="10" t="str">
        <f t="shared" si="13"/>
        <v/>
      </c>
      <c r="DD5" s="10" t="str">
        <f t="shared" si="13"/>
        <v/>
      </c>
      <c r="DE5" s="10" t="str">
        <f t="shared" si="13"/>
        <v/>
      </c>
      <c r="DF5" s="10" t="str">
        <f t="shared" si="13"/>
        <v/>
      </c>
      <c r="DG5" s="10" t="str">
        <f t="shared" si="13"/>
        <v/>
      </c>
      <c r="DH5" s="10" t="str">
        <f t="shared" si="13"/>
        <v/>
      </c>
      <c r="DI5" s="10" t="str">
        <f t="shared" si="13"/>
        <v/>
      </c>
      <c r="DJ5" s="10" t="str">
        <f t="shared" si="13"/>
        <v/>
      </c>
    </row>
    <row r="6" spans="1:114" ht="15.75" customHeight="1">
      <c r="A6" s="1">
        <f>Gerenciamento!D6</f>
        <v>0</v>
      </c>
      <c r="B6" s="1" t="e">
        <f t="shared" si="2"/>
        <v>#VALUE!</v>
      </c>
      <c r="C6" s="2" t="e">
        <f t="shared" si="6"/>
        <v>#VALUE!</v>
      </c>
      <c r="D6" s="2" t="e">
        <f t="shared" si="7"/>
        <v>#VALUE!</v>
      </c>
      <c r="E6" s="2" t="e">
        <f t="shared" si="8"/>
        <v>#VALUE!</v>
      </c>
      <c r="F6" s="2" t="e">
        <f t="shared" si="9"/>
        <v>#VALUE!</v>
      </c>
      <c r="G6" s="5" t="e">
        <f>IF(F6&gt;G5,F6,G5)</f>
        <v>#VALUE!</v>
      </c>
      <c r="H6" s="1" t="e">
        <f t="shared" si="10"/>
        <v>#VALUE!</v>
      </c>
      <c r="I6" s="1" t="e">
        <f t="shared" si="12"/>
        <v>#VALUE!</v>
      </c>
      <c r="J6" s="6" t="e">
        <f t="shared" si="3"/>
        <v>#VALUE!</v>
      </c>
      <c r="M6" s="9">
        <f t="shared" si="4"/>
        <v>4</v>
      </c>
      <c r="N6" s="10">
        <f t="shared" ref="N6:DJ6" si="14">IF(N$1&gt;$L$2,"",IF(N$1=$L$2,1,IF($L$2-N$1=$L$1-$M6,$L$3^($L$1-$M6),($L$3*N7*O7/(N7+($L$3-1)*O7)))))</f>
        <v>2</v>
      </c>
      <c r="O6" s="10">
        <f t="shared" si="14"/>
        <v>1.142857142857143</v>
      </c>
      <c r="P6" s="10">
        <f t="shared" si="14"/>
        <v>1</v>
      </c>
      <c r="Q6" s="10" t="str">
        <f t="shared" si="14"/>
        <v/>
      </c>
      <c r="R6" s="10" t="str">
        <f t="shared" si="14"/>
        <v/>
      </c>
      <c r="S6" s="10" t="str">
        <f t="shared" si="14"/>
        <v/>
      </c>
      <c r="T6" s="10" t="str">
        <f t="shared" si="14"/>
        <v/>
      </c>
      <c r="U6" s="10" t="str">
        <f t="shared" si="14"/>
        <v/>
      </c>
      <c r="V6" s="10" t="str">
        <f t="shared" si="14"/>
        <v/>
      </c>
      <c r="W6" s="10" t="str">
        <f t="shared" si="14"/>
        <v/>
      </c>
      <c r="X6" s="10" t="str">
        <f t="shared" si="14"/>
        <v/>
      </c>
      <c r="Y6" s="10" t="str">
        <f t="shared" si="14"/>
        <v/>
      </c>
      <c r="Z6" s="10" t="str">
        <f t="shared" si="14"/>
        <v/>
      </c>
      <c r="AA6" s="10" t="str">
        <f t="shared" si="14"/>
        <v/>
      </c>
      <c r="AB6" s="10" t="str">
        <f t="shared" si="14"/>
        <v/>
      </c>
      <c r="AC6" s="10" t="str">
        <f t="shared" si="14"/>
        <v/>
      </c>
      <c r="AD6" s="10" t="str">
        <f t="shared" si="14"/>
        <v/>
      </c>
      <c r="AE6" s="10" t="str">
        <f t="shared" si="14"/>
        <v/>
      </c>
      <c r="AF6" s="10" t="str">
        <f t="shared" si="14"/>
        <v/>
      </c>
      <c r="AG6" s="10" t="str">
        <f t="shared" si="14"/>
        <v/>
      </c>
      <c r="AH6" s="10" t="str">
        <f t="shared" si="14"/>
        <v/>
      </c>
      <c r="AI6" s="10" t="str">
        <f t="shared" si="14"/>
        <v/>
      </c>
      <c r="AJ6" s="10" t="str">
        <f t="shared" si="14"/>
        <v/>
      </c>
      <c r="AK6" s="10" t="str">
        <f t="shared" si="14"/>
        <v/>
      </c>
      <c r="AL6" s="10" t="str">
        <f t="shared" si="14"/>
        <v/>
      </c>
      <c r="AM6" s="10" t="str">
        <f t="shared" si="14"/>
        <v/>
      </c>
      <c r="AN6" s="10" t="str">
        <f t="shared" si="14"/>
        <v/>
      </c>
      <c r="AO6" s="10" t="str">
        <f t="shared" si="14"/>
        <v/>
      </c>
      <c r="AP6" s="10" t="str">
        <f t="shared" si="14"/>
        <v/>
      </c>
      <c r="AQ6" s="10" t="str">
        <f t="shared" si="14"/>
        <v/>
      </c>
      <c r="AR6" s="10" t="str">
        <f t="shared" si="14"/>
        <v/>
      </c>
      <c r="AS6" s="10" t="str">
        <f t="shared" si="14"/>
        <v/>
      </c>
      <c r="AT6" s="10" t="str">
        <f t="shared" si="14"/>
        <v/>
      </c>
      <c r="AU6" s="10" t="str">
        <f t="shared" si="14"/>
        <v/>
      </c>
      <c r="AV6" s="10" t="str">
        <f t="shared" si="14"/>
        <v/>
      </c>
      <c r="AW6" s="10" t="str">
        <f t="shared" si="14"/>
        <v/>
      </c>
      <c r="AX6" s="10" t="str">
        <f t="shared" si="14"/>
        <v/>
      </c>
      <c r="AY6" s="10" t="str">
        <f t="shared" si="14"/>
        <v/>
      </c>
      <c r="AZ6" s="10" t="str">
        <f t="shared" si="14"/>
        <v/>
      </c>
      <c r="BA6" s="10" t="str">
        <f t="shared" si="14"/>
        <v/>
      </c>
      <c r="BB6" s="10" t="str">
        <f t="shared" si="14"/>
        <v/>
      </c>
      <c r="BC6" s="10" t="str">
        <f t="shared" si="14"/>
        <v/>
      </c>
      <c r="BD6" s="10" t="str">
        <f t="shared" si="14"/>
        <v/>
      </c>
      <c r="BE6" s="10" t="str">
        <f t="shared" si="14"/>
        <v/>
      </c>
      <c r="BF6" s="10" t="str">
        <f t="shared" si="14"/>
        <v/>
      </c>
      <c r="BG6" s="10" t="str">
        <f t="shared" si="14"/>
        <v/>
      </c>
      <c r="BH6" s="10" t="str">
        <f t="shared" si="14"/>
        <v/>
      </c>
      <c r="BI6" s="10" t="str">
        <f t="shared" si="14"/>
        <v/>
      </c>
      <c r="BJ6" s="10" t="str">
        <f t="shared" si="14"/>
        <v/>
      </c>
      <c r="BK6" s="10" t="str">
        <f t="shared" si="14"/>
        <v/>
      </c>
      <c r="BL6" s="10" t="str">
        <f t="shared" si="14"/>
        <v/>
      </c>
      <c r="BM6" s="10" t="str">
        <f t="shared" si="14"/>
        <v/>
      </c>
      <c r="BN6" s="10" t="str">
        <f t="shared" si="14"/>
        <v/>
      </c>
      <c r="BO6" s="10" t="str">
        <f t="shared" si="14"/>
        <v/>
      </c>
      <c r="BP6" s="10" t="str">
        <f t="shared" si="14"/>
        <v/>
      </c>
      <c r="BQ6" s="10" t="str">
        <f t="shared" si="14"/>
        <v/>
      </c>
      <c r="BR6" s="10" t="str">
        <f t="shared" si="14"/>
        <v/>
      </c>
      <c r="BS6" s="10" t="str">
        <f t="shared" si="14"/>
        <v/>
      </c>
      <c r="BT6" s="10" t="str">
        <f t="shared" si="14"/>
        <v/>
      </c>
      <c r="BU6" s="10" t="str">
        <f t="shared" si="14"/>
        <v/>
      </c>
      <c r="BV6" s="10" t="str">
        <f t="shared" si="14"/>
        <v/>
      </c>
      <c r="BW6" s="10" t="str">
        <f t="shared" si="14"/>
        <v/>
      </c>
      <c r="BX6" s="10" t="str">
        <f t="shared" si="14"/>
        <v/>
      </c>
      <c r="BY6" s="10" t="str">
        <f t="shared" si="14"/>
        <v/>
      </c>
      <c r="BZ6" s="10" t="str">
        <f t="shared" si="14"/>
        <v/>
      </c>
      <c r="CA6" s="10" t="str">
        <f t="shared" si="14"/>
        <v/>
      </c>
      <c r="CB6" s="10" t="str">
        <f t="shared" si="14"/>
        <v/>
      </c>
      <c r="CC6" s="10" t="str">
        <f t="shared" si="14"/>
        <v/>
      </c>
      <c r="CD6" s="10" t="str">
        <f t="shared" si="14"/>
        <v/>
      </c>
      <c r="CE6" s="10" t="str">
        <f t="shared" si="14"/>
        <v/>
      </c>
      <c r="CF6" s="10" t="str">
        <f t="shared" si="14"/>
        <v/>
      </c>
      <c r="CG6" s="10" t="str">
        <f t="shared" si="14"/>
        <v/>
      </c>
      <c r="CH6" s="10" t="str">
        <f t="shared" si="14"/>
        <v/>
      </c>
      <c r="CI6" s="10" t="str">
        <f t="shared" si="14"/>
        <v/>
      </c>
      <c r="CJ6" s="10" t="str">
        <f t="shared" si="14"/>
        <v/>
      </c>
      <c r="CK6" s="10" t="str">
        <f t="shared" si="14"/>
        <v/>
      </c>
      <c r="CL6" s="10" t="str">
        <f t="shared" si="14"/>
        <v/>
      </c>
      <c r="CM6" s="10" t="str">
        <f t="shared" si="14"/>
        <v/>
      </c>
      <c r="CN6" s="10" t="str">
        <f t="shared" si="14"/>
        <v/>
      </c>
      <c r="CO6" s="10" t="str">
        <f t="shared" si="14"/>
        <v/>
      </c>
      <c r="CP6" s="10" t="str">
        <f t="shared" si="14"/>
        <v/>
      </c>
      <c r="CQ6" s="10" t="str">
        <f t="shared" si="14"/>
        <v/>
      </c>
      <c r="CR6" s="10" t="str">
        <f t="shared" si="14"/>
        <v/>
      </c>
      <c r="CS6" s="10" t="str">
        <f t="shared" si="14"/>
        <v/>
      </c>
      <c r="CT6" s="10" t="str">
        <f t="shared" si="14"/>
        <v/>
      </c>
      <c r="CU6" s="10" t="str">
        <f t="shared" si="14"/>
        <v/>
      </c>
      <c r="CV6" s="10" t="str">
        <f t="shared" si="14"/>
        <v/>
      </c>
      <c r="CW6" s="10" t="str">
        <f t="shared" si="14"/>
        <v/>
      </c>
      <c r="CX6" s="10" t="str">
        <f t="shared" si="14"/>
        <v/>
      </c>
      <c r="CY6" s="10" t="str">
        <f t="shared" si="14"/>
        <v/>
      </c>
      <c r="CZ6" s="10" t="str">
        <f t="shared" si="14"/>
        <v/>
      </c>
      <c r="DA6" s="10" t="str">
        <f t="shared" si="14"/>
        <v/>
      </c>
      <c r="DB6" s="10" t="str">
        <f t="shared" si="14"/>
        <v/>
      </c>
      <c r="DC6" s="10" t="str">
        <f t="shared" si="14"/>
        <v/>
      </c>
      <c r="DD6" s="10" t="str">
        <f t="shared" si="14"/>
        <v/>
      </c>
      <c r="DE6" s="10" t="str">
        <f t="shared" si="14"/>
        <v/>
      </c>
      <c r="DF6" s="10" t="str">
        <f t="shared" si="14"/>
        <v/>
      </c>
      <c r="DG6" s="10" t="str">
        <f t="shared" si="14"/>
        <v/>
      </c>
      <c r="DH6" s="10" t="str">
        <f t="shared" si="14"/>
        <v/>
      </c>
      <c r="DI6" s="10" t="str">
        <f t="shared" si="14"/>
        <v/>
      </c>
      <c r="DJ6" s="10" t="str">
        <f t="shared" si="14"/>
        <v/>
      </c>
    </row>
    <row r="7" spans="1:114" ht="15.75" customHeight="1">
      <c r="A7" s="1">
        <f>Gerenciamento!D7</f>
        <v>0</v>
      </c>
      <c r="B7" s="1" t="e">
        <f t="shared" si="2"/>
        <v>#VALUE!</v>
      </c>
      <c r="C7" s="2" t="e">
        <f t="shared" si="6"/>
        <v>#VALUE!</v>
      </c>
      <c r="D7" s="2" t="e">
        <f t="shared" si="7"/>
        <v>#VALUE!</v>
      </c>
      <c r="E7" s="2" t="e">
        <f t="shared" si="8"/>
        <v>#VALUE!</v>
      </c>
      <c r="F7" s="2" t="e">
        <f t="shared" si="9"/>
        <v>#VALUE!</v>
      </c>
      <c r="G7" s="5" t="e">
        <f t="shared" ref="G7:G102" si="15">IF(F7&gt;G6,F7,G6)</f>
        <v>#VALUE!</v>
      </c>
      <c r="H7" s="1" t="e">
        <f t="shared" si="10"/>
        <v>#VALUE!</v>
      </c>
      <c r="I7" s="1" t="e">
        <f t="shared" si="12"/>
        <v>#VALUE!</v>
      </c>
      <c r="J7" s="6" t="e">
        <f t="shared" si="3"/>
        <v>#VALUE!</v>
      </c>
      <c r="M7" s="9">
        <f t="shared" si="4"/>
        <v>5</v>
      </c>
      <c r="N7" s="10">
        <f t="shared" ref="N7:DJ7" si="16">IF(N$1&gt;$L$2,"",IF(N$1=$L$2,1,IF($L$2-N$1=$L$1-$M7,$L$3^($L$1-$M7),($L$3*N8*O8/(N8+($L$3-1)*O8)))))</f>
        <v>4</v>
      </c>
      <c r="O7" s="10">
        <f t="shared" si="16"/>
        <v>1.3333333333333333</v>
      </c>
      <c r="P7" s="10">
        <f t="shared" si="16"/>
        <v>1</v>
      </c>
      <c r="Q7" s="10" t="str">
        <f t="shared" si="16"/>
        <v/>
      </c>
      <c r="R7" s="10" t="str">
        <f t="shared" si="16"/>
        <v/>
      </c>
      <c r="S7" s="10" t="str">
        <f t="shared" si="16"/>
        <v/>
      </c>
      <c r="T7" s="10" t="str">
        <f t="shared" si="16"/>
        <v/>
      </c>
      <c r="U7" s="10" t="str">
        <f t="shared" si="16"/>
        <v/>
      </c>
      <c r="V7" s="10" t="str">
        <f t="shared" si="16"/>
        <v/>
      </c>
      <c r="W7" s="10" t="str">
        <f t="shared" si="16"/>
        <v/>
      </c>
      <c r="X7" s="10" t="str">
        <f t="shared" si="16"/>
        <v/>
      </c>
      <c r="Y7" s="10" t="str">
        <f t="shared" si="16"/>
        <v/>
      </c>
      <c r="Z7" s="10" t="str">
        <f t="shared" si="16"/>
        <v/>
      </c>
      <c r="AA7" s="10" t="str">
        <f t="shared" si="16"/>
        <v/>
      </c>
      <c r="AB7" s="10" t="str">
        <f t="shared" si="16"/>
        <v/>
      </c>
      <c r="AC7" s="10" t="str">
        <f t="shared" si="16"/>
        <v/>
      </c>
      <c r="AD7" s="10" t="str">
        <f t="shared" si="16"/>
        <v/>
      </c>
      <c r="AE7" s="10" t="str">
        <f t="shared" si="16"/>
        <v/>
      </c>
      <c r="AF7" s="10" t="str">
        <f t="shared" si="16"/>
        <v/>
      </c>
      <c r="AG7" s="10" t="str">
        <f t="shared" si="16"/>
        <v/>
      </c>
      <c r="AH7" s="10" t="str">
        <f t="shared" si="16"/>
        <v/>
      </c>
      <c r="AI7" s="10" t="str">
        <f t="shared" si="16"/>
        <v/>
      </c>
      <c r="AJ7" s="10" t="str">
        <f t="shared" si="16"/>
        <v/>
      </c>
      <c r="AK7" s="10" t="str">
        <f t="shared" si="16"/>
        <v/>
      </c>
      <c r="AL7" s="10" t="str">
        <f t="shared" si="16"/>
        <v/>
      </c>
      <c r="AM7" s="10" t="str">
        <f t="shared" si="16"/>
        <v/>
      </c>
      <c r="AN7" s="10" t="str">
        <f t="shared" si="16"/>
        <v/>
      </c>
      <c r="AO7" s="10" t="str">
        <f t="shared" si="16"/>
        <v/>
      </c>
      <c r="AP7" s="10" t="str">
        <f t="shared" si="16"/>
        <v/>
      </c>
      <c r="AQ7" s="10" t="str">
        <f t="shared" si="16"/>
        <v/>
      </c>
      <c r="AR7" s="10" t="str">
        <f t="shared" si="16"/>
        <v/>
      </c>
      <c r="AS7" s="10" t="str">
        <f t="shared" si="16"/>
        <v/>
      </c>
      <c r="AT7" s="10" t="str">
        <f t="shared" si="16"/>
        <v/>
      </c>
      <c r="AU7" s="10" t="str">
        <f t="shared" si="16"/>
        <v/>
      </c>
      <c r="AV7" s="10" t="str">
        <f t="shared" si="16"/>
        <v/>
      </c>
      <c r="AW7" s="10" t="str">
        <f t="shared" si="16"/>
        <v/>
      </c>
      <c r="AX7" s="10" t="str">
        <f t="shared" si="16"/>
        <v/>
      </c>
      <c r="AY7" s="10" t="str">
        <f t="shared" si="16"/>
        <v/>
      </c>
      <c r="AZ7" s="10" t="str">
        <f t="shared" si="16"/>
        <v/>
      </c>
      <c r="BA7" s="10" t="str">
        <f t="shared" si="16"/>
        <v/>
      </c>
      <c r="BB7" s="10" t="str">
        <f t="shared" si="16"/>
        <v/>
      </c>
      <c r="BC7" s="10" t="str">
        <f t="shared" si="16"/>
        <v/>
      </c>
      <c r="BD7" s="10" t="str">
        <f t="shared" si="16"/>
        <v/>
      </c>
      <c r="BE7" s="10" t="str">
        <f t="shared" si="16"/>
        <v/>
      </c>
      <c r="BF7" s="10" t="str">
        <f t="shared" si="16"/>
        <v/>
      </c>
      <c r="BG7" s="10" t="str">
        <f t="shared" si="16"/>
        <v/>
      </c>
      <c r="BH7" s="10" t="str">
        <f t="shared" si="16"/>
        <v/>
      </c>
      <c r="BI7" s="10" t="str">
        <f t="shared" si="16"/>
        <v/>
      </c>
      <c r="BJ7" s="10" t="str">
        <f t="shared" si="16"/>
        <v/>
      </c>
      <c r="BK7" s="10" t="str">
        <f t="shared" si="16"/>
        <v/>
      </c>
      <c r="BL7" s="10" t="str">
        <f t="shared" si="16"/>
        <v/>
      </c>
      <c r="BM7" s="10" t="str">
        <f t="shared" si="16"/>
        <v/>
      </c>
      <c r="BN7" s="10" t="str">
        <f t="shared" si="16"/>
        <v/>
      </c>
      <c r="BO7" s="10" t="str">
        <f t="shared" si="16"/>
        <v/>
      </c>
      <c r="BP7" s="10" t="str">
        <f t="shared" si="16"/>
        <v/>
      </c>
      <c r="BQ7" s="10" t="str">
        <f t="shared" si="16"/>
        <v/>
      </c>
      <c r="BR7" s="10" t="str">
        <f t="shared" si="16"/>
        <v/>
      </c>
      <c r="BS7" s="10" t="str">
        <f t="shared" si="16"/>
        <v/>
      </c>
      <c r="BT7" s="10" t="str">
        <f t="shared" si="16"/>
        <v/>
      </c>
      <c r="BU7" s="10" t="str">
        <f t="shared" si="16"/>
        <v/>
      </c>
      <c r="BV7" s="10" t="str">
        <f t="shared" si="16"/>
        <v/>
      </c>
      <c r="BW7" s="10" t="str">
        <f t="shared" si="16"/>
        <v/>
      </c>
      <c r="BX7" s="10" t="str">
        <f t="shared" si="16"/>
        <v/>
      </c>
      <c r="BY7" s="10" t="str">
        <f t="shared" si="16"/>
        <v/>
      </c>
      <c r="BZ7" s="10" t="str">
        <f t="shared" si="16"/>
        <v/>
      </c>
      <c r="CA7" s="10" t="str">
        <f t="shared" si="16"/>
        <v/>
      </c>
      <c r="CB7" s="10" t="str">
        <f t="shared" si="16"/>
        <v/>
      </c>
      <c r="CC7" s="10" t="str">
        <f t="shared" si="16"/>
        <v/>
      </c>
      <c r="CD7" s="10" t="str">
        <f t="shared" si="16"/>
        <v/>
      </c>
      <c r="CE7" s="10" t="str">
        <f t="shared" si="16"/>
        <v/>
      </c>
      <c r="CF7" s="10" t="str">
        <f t="shared" si="16"/>
        <v/>
      </c>
      <c r="CG7" s="10" t="str">
        <f t="shared" si="16"/>
        <v/>
      </c>
      <c r="CH7" s="10" t="str">
        <f t="shared" si="16"/>
        <v/>
      </c>
      <c r="CI7" s="10" t="str">
        <f t="shared" si="16"/>
        <v/>
      </c>
      <c r="CJ7" s="10" t="str">
        <f t="shared" si="16"/>
        <v/>
      </c>
      <c r="CK7" s="10" t="str">
        <f t="shared" si="16"/>
        <v/>
      </c>
      <c r="CL7" s="10" t="str">
        <f t="shared" si="16"/>
        <v/>
      </c>
      <c r="CM7" s="10" t="str">
        <f t="shared" si="16"/>
        <v/>
      </c>
      <c r="CN7" s="10" t="str">
        <f t="shared" si="16"/>
        <v/>
      </c>
      <c r="CO7" s="10" t="str">
        <f t="shared" si="16"/>
        <v/>
      </c>
      <c r="CP7" s="10" t="str">
        <f t="shared" si="16"/>
        <v/>
      </c>
      <c r="CQ7" s="10" t="str">
        <f t="shared" si="16"/>
        <v/>
      </c>
      <c r="CR7" s="10" t="str">
        <f t="shared" si="16"/>
        <v/>
      </c>
      <c r="CS7" s="10" t="str">
        <f t="shared" si="16"/>
        <v/>
      </c>
      <c r="CT7" s="10" t="str">
        <f t="shared" si="16"/>
        <v/>
      </c>
      <c r="CU7" s="10" t="str">
        <f t="shared" si="16"/>
        <v/>
      </c>
      <c r="CV7" s="10" t="str">
        <f t="shared" si="16"/>
        <v/>
      </c>
      <c r="CW7" s="10" t="str">
        <f t="shared" si="16"/>
        <v/>
      </c>
      <c r="CX7" s="10" t="str">
        <f t="shared" si="16"/>
        <v/>
      </c>
      <c r="CY7" s="10" t="str">
        <f t="shared" si="16"/>
        <v/>
      </c>
      <c r="CZ7" s="10" t="str">
        <f t="shared" si="16"/>
        <v/>
      </c>
      <c r="DA7" s="10" t="str">
        <f t="shared" si="16"/>
        <v/>
      </c>
      <c r="DB7" s="10" t="str">
        <f t="shared" si="16"/>
        <v/>
      </c>
      <c r="DC7" s="10" t="str">
        <f t="shared" si="16"/>
        <v/>
      </c>
      <c r="DD7" s="10" t="str">
        <f t="shared" si="16"/>
        <v/>
      </c>
      <c r="DE7" s="10" t="str">
        <f t="shared" si="16"/>
        <v/>
      </c>
      <c r="DF7" s="10" t="str">
        <f t="shared" si="16"/>
        <v/>
      </c>
      <c r="DG7" s="10" t="str">
        <f t="shared" si="16"/>
        <v/>
      </c>
      <c r="DH7" s="10" t="str">
        <f t="shared" si="16"/>
        <v/>
      </c>
      <c r="DI7" s="10" t="str">
        <f t="shared" si="16"/>
        <v/>
      </c>
      <c r="DJ7" s="10" t="str">
        <f t="shared" si="16"/>
        <v/>
      </c>
    </row>
    <row r="8" spans="1:114" ht="15.75" customHeight="1">
      <c r="A8" s="1">
        <f>Gerenciamento!D8</f>
        <v>0</v>
      </c>
      <c r="B8" s="1" t="e">
        <f t="shared" si="2"/>
        <v>#VALUE!</v>
      </c>
      <c r="C8" s="2" t="e">
        <f t="shared" si="6"/>
        <v>#VALUE!</v>
      </c>
      <c r="D8" s="2" t="e">
        <f t="shared" si="7"/>
        <v>#VALUE!</v>
      </c>
      <c r="E8" s="2" t="e">
        <f t="shared" si="8"/>
        <v>#VALUE!</v>
      </c>
      <c r="F8" s="2" t="e">
        <f t="shared" si="9"/>
        <v>#VALUE!</v>
      </c>
      <c r="G8" s="5" t="e">
        <f t="shared" si="15"/>
        <v>#VALUE!</v>
      </c>
      <c r="H8" s="1" t="e">
        <f t="shared" si="10"/>
        <v>#VALUE!</v>
      </c>
      <c r="I8" s="1" t="e">
        <f t="shared" si="12"/>
        <v>#VALUE!</v>
      </c>
      <c r="J8" s="6" t="e">
        <f t="shared" si="3"/>
        <v>#VALUE!</v>
      </c>
      <c r="M8" s="9">
        <f t="shared" si="4"/>
        <v>6</v>
      </c>
      <c r="N8" s="10" t="e">
        <f t="shared" ref="N8:DJ8" si="17">IF(N$1&gt;$L$2,"",IF(N$1=$L$2,1,IF($L$2-N$1=$L$1-$M8,$L$3^($L$1-$M8),($L$3*N9*O9/(N9+($L$3-1)*O9)))))</f>
        <v>#DIV/0!</v>
      </c>
      <c r="O8" s="10">
        <f t="shared" si="17"/>
        <v>2</v>
      </c>
      <c r="P8" s="10">
        <f t="shared" si="17"/>
        <v>1</v>
      </c>
      <c r="Q8" s="10" t="str">
        <f t="shared" si="17"/>
        <v/>
      </c>
      <c r="R8" s="10" t="str">
        <f t="shared" si="17"/>
        <v/>
      </c>
      <c r="S8" s="10" t="str">
        <f t="shared" si="17"/>
        <v/>
      </c>
      <c r="T8" s="10" t="str">
        <f t="shared" si="17"/>
        <v/>
      </c>
      <c r="U8" s="10" t="str">
        <f t="shared" si="17"/>
        <v/>
      </c>
      <c r="V8" s="10" t="str">
        <f t="shared" si="17"/>
        <v/>
      </c>
      <c r="W8" s="10" t="str">
        <f t="shared" si="17"/>
        <v/>
      </c>
      <c r="X8" s="10" t="str">
        <f t="shared" si="17"/>
        <v/>
      </c>
      <c r="Y8" s="10" t="str">
        <f t="shared" si="17"/>
        <v/>
      </c>
      <c r="Z8" s="10" t="str">
        <f t="shared" si="17"/>
        <v/>
      </c>
      <c r="AA8" s="10" t="str">
        <f t="shared" si="17"/>
        <v/>
      </c>
      <c r="AB8" s="10" t="str">
        <f t="shared" si="17"/>
        <v/>
      </c>
      <c r="AC8" s="10" t="str">
        <f t="shared" si="17"/>
        <v/>
      </c>
      <c r="AD8" s="10" t="str">
        <f t="shared" si="17"/>
        <v/>
      </c>
      <c r="AE8" s="10" t="str">
        <f t="shared" si="17"/>
        <v/>
      </c>
      <c r="AF8" s="10" t="str">
        <f t="shared" si="17"/>
        <v/>
      </c>
      <c r="AG8" s="10" t="str">
        <f t="shared" si="17"/>
        <v/>
      </c>
      <c r="AH8" s="10" t="str">
        <f t="shared" si="17"/>
        <v/>
      </c>
      <c r="AI8" s="10" t="str">
        <f t="shared" si="17"/>
        <v/>
      </c>
      <c r="AJ8" s="10" t="str">
        <f t="shared" si="17"/>
        <v/>
      </c>
      <c r="AK8" s="10" t="str">
        <f t="shared" si="17"/>
        <v/>
      </c>
      <c r="AL8" s="10" t="str">
        <f t="shared" si="17"/>
        <v/>
      </c>
      <c r="AM8" s="10" t="str">
        <f t="shared" si="17"/>
        <v/>
      </c>
      <c r="AN8" s="10" t="str">
        <f t="shared" si="17"/>
        <v/>
      </c>
      <c r="AO8" s="10" t="str">
        <f t="shared" si="17"/>
        <v/>
      </c>
      <c r="AP8" s="10" t="str">
        <f t="shared" si="17"/>
        <v/>
      </c>
      <c r="AQ8" s="10" t="str">
        <f t="shared" si="17"/>
        <v/>
      </c>
      <c r="AR8" s="10" t="str">
        <f t="shared" si="17"/>
        <v/>
      </c>
      <c r="AS8" s="10" t="str">
        <f t="shared" si="17"/>
        <v/>
      </c>
      <c r="AT8" s="10" t="str">
        <f t="shared" si="17"/>
        <v/>
      </c>
      <c r="AU8" s="10" t="str">
        <f t="shared" si="17"/>
        <v/>
      </c>
      <c r="AV8" s="10" t="str">
        <f t="shared" si="17"/>
        <v/>
      </c>
      <c r="AW8" s="10" t="str">
        <f t="shared" si="17"/>
        <v/>
      </c>
      <c r="AX8" s="10" t="str">
        <f t="shared" si="17"/>
        <v/>
      </c>
      <c r="AY8" s="10" t="str">
        <f t="shared" si="17"/>
        <v/>
      </c>
      <c r="AZ8" s="10" t="str">
        <f t="shared" si="17"/>
        <v/>
      </c>
      <c r="BA8" s="10" t="str">
        <f t="shared" si="17"/>
        <v/>
      </c>
      <c r="BB8" s="10" t="str">
        <f t="shared" si="17"/>
        <v/>
      </c>
      <c r="BC8" s="10" t="str">
        <f t="shared" si="17"/>
        <v/>
      </c>
      <c r="BD8" s="10" t="str">
        <f t="shared" si="17"/>
        <v/>
      </c>
      <c r="BE8" s="10" t="str">
        <f t="shared" si="17"/>
        <v/>
      </c>
      <c r="BF8" s="10" t="str">
        <f t="shared" si="17"/>
        <v/>
      </c>
      <c r="BG8" s="10" t="str">
        <f t="shared" si="17"/>
        <v/>
      </c>
      <c r="BH8" s="10" t="str">
        <f t="shared" si="17"/>
        <v/>
      </c>
      <c r="BI8" s="10" t="str">
        <f t="shared" si="17"/>
        <v/>
      </c>
      <c r="BJ8" s="10" t="str">
        <f t="shared" si="17"/>
        <v/>
      </c>
      <c r="BK8" s="10" t="str">
        <f t="shared" si="17"/>
        <v/>
      </c>
      <c r="BL8" s="10" t="str">
        <f t="shared" si="17"/>
        <v/>
      </c>
      <c r="BM8" s="10" t="str">
        <f t="shared" si="17"/>
        <v/>
      </c>
      <c r="BN8" s="10" t="str">
        <f t="shared" si="17"/>
        <v/>
      </c>
      <c r="BO8" s="10" t="str">
        <f t="shared" si="17"/>
        <v/>
      </c>
      <c r="BP8" s="10" t="str">
        <f t="shared" si="17"/>
        <v/>
      </c>
      <c r="BQ8" s="10" t="str">
        <f t="shared" si="17"/>
        <v/>
      </c>
      <c r="BR8" s="10" t="str">
        <f t="shared" si="17"/>
        <v/>
      </c>
      <c r="BS8" s="10" t="str">
        <f t="shared" si="17"/>
        <v/>
      </c>
      <c r="BT8" s="10" t="str">
        <f t="shared" si="17"/>
        <v/>
      </c>
      <c r="BU8" s="10" t="str">
        <f t="shared" si="17"/>
        <v/>
      </c>
      <c r="BV8" s="10" t="str">
        <f t="shared" si="17"/>
        <v/>
      </c>
      <c r="BW8" s="10" t="str">
        <f t="shared" si="17"/>
        <v/>
      </c>
      <c r="BX8" s="10" t="str">
        <f t="shared" si="17"/>
        <v/>
      </c>
      <c r="BY8" s="10" t="str">
        <f t="shared" si="17"/>
        <v/>
      </c>
      <c r="BZ8" s="10" t="str">
        <f t="shared" si="17"/>
        <v/>
      </c>
      <c r="CA8" s="10" t="str">
        <f t="shared" si="17"/>
        <v/>
      </c>
      <c r="CB8" s="10" t="str">
        <f t="shared" si="17"/>
        <v/>
      </c>
      <c r="CC8" s="10" t="str">
        <f t="shared" si="17"/>
        <v/>
      </c>
      <c r="CD8" s="10" t="str">
        <f t="shared" si="17"/>
        <v/>
      </c>
      <c r="CE8" s="10" t="str">
        <f t="shared" si="17"/>
        <v/>
      </c>
      <c r="CF8" s="10" t="str">
        <f t="shared" si="17"/>
        <v/>
      </c>
      <c r="CG8" s="10" t="str">
        <f t="shared" si="17"/>
        <v/>
      </c>
      <c r="CH8" s="10" t="str">
        <f t="shared" si="17"/>
        <v/>
      </c>
      <c r="CI8" s="10" t="str">
        <f t="shared" si="17"/>
        <v/>
      </c>
      <c r="CJ8" s="10" t="str">
        <f t="shared" si="17"/>
        <v/>
      </c>
      <c r="CK8" s="10" t="str">
        <f t="shared" si="17"/>
        <v/>
      </c>
      <c r="CL8" s="10" t="str">
        <f t="shared" si="17"/>
        <v/>
      </c>
      <c r="CM8" s="10" t="str">
        <f t="shared" si="17"/>
        <v/>
      </c>
      <c r="CN8" s="10" t="str">
        <f t="shared" si="17"/>
        <v/>
      </c>
      <c r="CO8" s="10" t="str">
        <f t="shared" si="17"/>
        <v/>
      </c>
      <c r="CP8" s="10" t="str">
        <f t="shared" si="17"/>
        <v/>
      </c>
      <c r="CQ8" s="10" t="str">
        <f t="shared" si="17"/>
        <v/>
      </c>
      <c r="CR8" s="10" t="str">
        <f t="shared" si="17"/>
        <v/>
      </c>
      <c r="CS8" s="10" t="str">
        <f t="shared" si="17"/>
        <v/>
      </c>
      <c r="CT8" s="10" t="str">
        <f t="shared" si="17"/>
        <v/>
      </c>
      <c r="CU8" s="10" t="str">
        <f t="shared" si="17"/>
        <v/>
      </c>
      <c r="CV8" s="10" t="str">
        <f t="shared" si="17"/>
        <v/>
      </c>
      <c r="CW8" s="10" t="str">
        <f t="shared" si="17"/>
        <v/>
      </c>
      <c r="CX8" s="10" t="str">
        <f t="shared" si="17"/>
        <v/>
      </c>
      <c r="CY8" s="10" t="str">
        <f t="shared" si="17"/>
        <v/>
      </c>
      <c r="CZ8" s="10" t="str">
        <f t="shared" si="17"/>
        <v/>
      </c>
      <c r="DA8" s="10" t="str">
        <f t="shared" si="17"/>
        <v/>
      </c>
      <c r="DB8" s="10" t="str">
        <f t="shared" si="17"/>
        <v/>
      </c>
      <c r="DC8" s="10" t="str">
        <f t="shared" si="17"/>
        <v/>
      </c>
      <c r="DD8" s="10" t="str">
        <f t="shared" si="17"/>
        <v/>
      </c>
      <c r="DE8" s="10" t="str">
        <f t="shared" si="17"/>
        <v/>
      </c>
      <c r="DF8" s="10" t="str">
        <f t="shared" si="17"/>
        <v/>
      </c>
      <c r="DG8" s="10" t="str">
        <f t="shared" si="17"/>
        <v/>
      </c>
      <c r="DH8" s="10" t="str">
        <f t="shared" si="17"/>
        <v/>
      </c>
      <c r="DI8" s="10" t="str">
        <f t="shared" si="17"/>
        <v/>
      </c>
      <c r="DJ8" s="10" t="str">
        <f t="shared" si="17"/>
        <v/>
      </c>
    </row>
    <row r="9" spans="1:114" ht="15.75" customHeight="1">
      <c r="A9" s="1">
        <f>Gerenciamento!D9</f>
        <v>0</v>
      </c>
      <c r="B9" s="1" t="e">
        <f t="shared" si="2"/>
        <v>#VALUE!</v>
      </c>
      <c r="C9" s="2" t="e">
        <f t="shared" si="6"/>
        <v>#VALUE!</v>
      </c>
      <c r="D9" s="2" t="e">
        <f t="shared" si="7"/>
        <v>#VALUE!</v>
      </c>
      <c r="E9" s="2" t="e">
        <f t="shared" si="8"/>
        <v>#VALUE!</v>
      </c>
      <c r="F9" s="2" t="e">
        <f t="shared" si="9"/>
        <v>#VALUE!</v>
      </c>
      <c r="G9" s="5" t="e">
        <f t="shared" si="15"/>
        <v>#VALUE!</v>
      </c>
      <c r="H9" s="1" t="e">
        <f t="shared" si="10"/>
        <v>#VALUE!</v>
      </c>
      <c r="I9" s="1" t="e">
        <f t="shared" si="12"/>
        <v>#VALUE!</v>
      </c>
      <c r="J9" s="6" t="e">
        <f t="shared" si="3"/>
        <v>#VALUE!</v>
      </c>
      <c r="M9" s="9" t="b">
        <f t="shared" si="4"/>
        <v>0</v>
      </c>
      <c r="N9" s="10" t="e">
        <f t="shared" ref="N9:DJ9" si="18">IF(N$1&gt;$L$2,"",IF(N$1=$L$2,1,IF($L$2-N$1=$L$1-$M9,$L$3^($L$1-$M9),($L$3*N10*O10/(N10+($L$3-1)*O10)))))</f>
        <v>#DIV/0!</v>
      </c>
      <c r="O9" s="10" t="e">
        <f t="shared" si="18"/>
        <v>#DIV/0!</v>
      </c>
      <c r="P9" s="10">
        <f t="shared" si="18"/>
        <v>1</v>
      </c>
      <c r="Q9" s="10" t="str">
        <f t="shared" si="18"/>
        <v/>
      </c>
      <c r="R9" s="10" t="str">
        <f t="shared" si="18"/>
        <v/>
      </c>
      <c r="S9" s="10" t="str">
        <f t="shared" si="18"/>
        <v/>
      </c>
      <c r="T9" s="10" t="str">
        <f t="shared" si="18"/>
        <v/>
      </c>
      <c r="U9" s="10" t="str">
        <f t="shared" si="18"/>
        <v/>
      </c>
      <c r="V9" s="10" t="str">
        <f t="shared" si="18"/>
        <v/>
      </c>
      <c r="W9" s="10" t="str">
        <f t="shared" si="18"/>
        <v/>
      </c>
      <c r="X9" s="10" t="str">
        <f t="shared" si="18"/>
        <v/>
      </c>
      <c r="Y9" s="10" t="str">
        <f t="shared" si="18"/>
        <v/>
      </c>
      <c r="Z9" s="10" t="str">
        <f t="shared" si="18"/>
        <v/>
      </c>
      <c r="AA9" s="10" t="str">
        <f t="shared" si="18"/>
        <v/>
      </c>
      <c r="AB9" s="10" t="str">
        <f t="shared" si="18"/>
        <v/>
      </c>
      <c r="AC9" s="10" t="str">
        <f t="shared" si="18"/>
        <v/>
      </c>
      <c r="AD9" s="10" t="str">
        <f t="shared" si="18"/>
        <v/>
      </c>
      <c r="AE9" s="10" t="str">
        <f t="shared" si="18"/>
        <v/>
      </c>
      <c r="AF9" s="10" t="str">
        <f t="shared" si="18"/>
        <v/>
      </c>
      <c r="AG9" s="10" t="str">
        <f t="shared" si="18"/>
        <v/>
      </c>
      <c r="AH9" s="10" t="str">
        <f t="shared" si="18"/>
        <v/>
      </c>
      <c r="AI9" s="10" t="str">
        <f t="shared" si="18"/>
        <v/>
      </c>
      <c r="AJ9" s="10" t="str">
        <f t="shared" si="18"/>
        <v/>
      </c>
      <c r="AK9" s="10" t="str">
        <f t="shared" si="18"/>
        <v/>
      </c>
      <c r="AL9" s="10" t="str">
        <f t="shared" si="18"/>
        <v/>
      </c>
      <c r="AM9" s="10" t="str">
        <f t="shared" si="18"/>
        <v/>
      </c>
      <c r="AN9" s="10" t="str">
        <f t="shared" si="18"/>
        <v/>
      </c>
      <c r="AO9" s="10" t="str">
        <f t="shared" si="18"/>
        <v/>
      </c>
      <c r="AP9" s="10" t="str">
        <f t="shared" si="18"/>
        <v/>
      </c>
      <c r="AQ9" s="10" t="str">
        <f t="shared" si="18"/>
        <v/>
      </c>
      <c r="AR9" s="10" t="str">
        <f t="shared" si="18"/>
        <v/>
      </c>
      <c r="AS9" s="10" t="str">
        <f t="shared" si="18"/>
        <v/>
      </c>
      <c r="AT9" s="10" t="str">
        <f t="shared" si="18"/>
        <v/>
      </c>
      <c r="AU9" s="10" t="str">
        <f t="shared" si="18"/>
        <v/>
      </c>
      <c r="AV9" s="10" t="str">
        <f t="shared" si="18"/>
        <v/>
      </c>
      <c r="AW9" s="10" t="str">
        <f t="shared" si="18"/>
        <v/>
      </c>
      <c r="AX9" s="10" t="str">
        <f t="shared" si="18"/>
        <v/>
      </c>
      <c r="AY9" s="10" t="str">
        <f t="shared" si="18"/>
        <v/>
      </c>
      <c r="AZ9" s="10" t="str">
        <f t="shared" si="18"/>
        <v/>
      </c>
      <c r="BA9" s="10" t="str">
        <f t="shared" si="18"/>
        <v/>
      </c>
      <c r="BB9" s="10" t="str">
        <f t="shared" si="18"/>
        <v/>
      </c>
      <c r="BC9" s="10" t="str">
        <f t="shared" si="18"/>
        <v/>
      </c>
      <c r="BD9" s="10" t="str">
        <f t="shared" si="18"/>
        <v/>
      </c>
      <c r="BE9" s="10" t="str">
        <f t="shared" si="18"/>
        <v/>
      </c>
      <c r="BF9" s="10" t="str">
        <f t="shared" si="18"/>
        <v/>
      </c>
      <c r="BG9" s="10" t="str">
        <f t="shared" si="18"/>
        <v/>
      </c>
      <c r="BH9" s="10" t="str">
        <f t="shared" si="18"/>
        <v/>
      </c>
      <c r="BI9" s="10" t="str">
        <f t="shared" si="18"/>
        <v/>
      </c>
      <c r="BJ9" s="10" t="str">
        <f t="shared" si="18"/>
        <v/>
      </c>
      <c r="BK9" s="10" t="str">
        <f t="shared" si="18"/>
        <v/>
      </c>
      <c r="BL9" s="10" t="str">
        <f t="shared" si="18"/>
        <v/>
      </c>
      <c r="BM9" s="10" t="str">
        <f t="shared" si="18"/>
        <v/>
      </c>
      <c r="BN9" s="10" t="str">
        <f t="shared" si="18"/>
        <v/>
      </c>
      <c r="BO9" s="10" t="str">
        <f t="shared" si="18"/>
        <v/>
      </c>
      <c r="BP9" s="10" t="str">
        <f t="shared" si="18"/>
        <v/>
      </c>
      <c r="BQ9" s="10" t="str">
        <f t="shared" si="18"/>
        <v/>
      </c>
      <c r="BR9" s="10" t="str">
        <f t="shared" si="18"/>
        <v/>
      </c>
      <c r="BS9" s="10" t="str">
        <f t="shared" si="18"/>
        <v/>
      </c>
      <c r="BT9" s="10" t="str">
        <f t="shared" si="18"/>
        <v/>
      </c>
      <c r="BU9" s="10" t="str">
        <f t="shared" si="18"/>
        <v/>
      </c>
      <c r="BV9" s="10" t="str">
        <f t="shared" si="18"/>
        <v/>
      </c>
      <c r="BW9" s="10" t="str">
        <f t="shared" si="18"/>
        <v/>
      </c>
      <c r="BX9" s="10" t="str">
        <f t="shared" si="18"/>
        <v/>
      </c>
      <c r="BY9" s="10" t="str">
        <f t="shared" si="18"/>
        <v/>
      </c>
      <c r="BZ9" s="10" t="str">
        <f t="shared" si="18"/>
        <v/>
      </c>
      <c r="CA9" s="10" t="str">
        <f t="shared" si="18"/>
        <v/>
      </c>
      <c r="CB9" s="10" t="str">
        <f t="shared" si="18"/>
        <v/>
      </c>
      <c r="CC9" s="10" t="str">
        <f t="shared" si="18"/>
        <v/>
      </c>
      <c r="CD9" s="10" t="str">
        <f t="shared" si="18"/>
        <v/>
      </c>
      <c r="CE9" s="10" t="str">
        <f t="shared" si="18"/>
        <v/>
      </c>
      <c r="CF9" s="10" t="str">
        <f t="shared" si="18"/>
        <v/>
      </c>
      <c r="CG9" s="10" t="str">
        <f t="shared" si="18"/>
        <v/>
      </c>
      <c r="CH9" s="10" t="str">
        <f t="shared" si="18"/>
        <v/>
      </c>
      <c r="CI9" s="10" t="str">
        <f t="shared" si="18"/>
        <v/>
      </c>
      <c r="CJ9" s="10" t="str">
        <f t="shared" si="18"/>
        <v/>
      </c>
      <c r="CK9" s="10" t="str">
        <f t="shared" si="18"/>
        <v/>
      </c>
      <c r="CL9" s="10" t="str">
        <f t="shared" si="18"/>
        <v/>
      </c>
      <c r="CM9" s="10" t="str">
        <f t="shared" si="18"/>
        <v/>
      </c>
      <c r="CN9" s="10" t="str">
        <f t="shared" si="18"/>
        <v/>
      </c>
      <c r="CO9" s="10" t="str">
        <f t="shared" si="18"/>
        <v/>
      </c>
      <c r="CP9" s="10" t="str">
        <f t="shared" si="18"/>
        <v/>
      </c>
      <c r="CQ9" s="10" t="str">
        <f t="shared" si="18"/>
        <v/>
      </c>
      <c r="CR9" s="10" t="str">
        <f t="shared" si="18"/>
        <v/>
      </c>
      <c r="CS9" s="10" t="str">
        <f t="shared" si="18"/>
        <v/>
      </c>
      <c r="CT9" s="10" t="str">
        <f t="shared" si="18"/>
        <v/>
      </c>
      <c r="CU9" s="10" t="str">
        <f t="shared" si="18"/>
        <v/>
      </c>
      <c r="CV9" s="10" t="str">
        <f t="shared" si="18"/>
        <v/>
      </c>
      <c r="CW9" s="10" t="str">
        <f t="shared" si="18"/>
        <v/>
      </c>
      <c r="CX9" s="10" t="str">
        <f t="shared" si="18"/>
        <v/>
      </c>
      <c r="CY9" s="10" t="str">
        <f t="shared" si="18"/>
        <v/>
      </c>
      <c r="CZ9" s="10" t="str">
        <f t="shared" si="18"/>
        <v/>
      </c>
      <c r="DA9" s="10" t="str">
        <f t="shared" si="18"/>
        <v/>
      </c>
      <c r="DB9" s="10" t="str">
        <f t="shared" si="18"/>
        <v/>
      </c>
      <c r="DC9" s="10" t="str">
        <f t="shared" si="18"/>
        <v/>
      </c>
      <c r="DD9" s="10" t="str">
        <f t="shared" si="18"/>
        <v/>
      </c>
      <c r="DE9" s="10" t="str">
        <f t="shared" si="18"/>
        <v/>
      </c>
      <c r="DF9" s="10" t="str">
        <f t="shared" si="18"/>
        <v/>
      </c>
      <c r="DG9" s="10" t="str">
        <f t="shared" si="18"/>
        <v/>
      </c>
      <c r="DH9" s="10" t="str">
        <f t="shared" si="18"/>
        <v/>
      </c>
      <c r="DI9" s="10" t="str">
        <f t="shared" si="18"/>
        <v/>
      </c>
      <c r="DJ9" s="10" t="str">
        <f t="shared" si="18"/>
        <v/>
      </c>
    </row>
    <row r="10" spans="1:114" ht="15.75" customHeight="1">
      <c r="A10" s="1">
        <f>Gerenciamento!D10</f>
        <v>0</v>
      </c>
      <c r="B10" s="1" t="e">
        <f t="shared" si="2"/>
        <v>#VALUE!</v>
      </c>
      <c r="C10" s="2" t="e">
        <f t="shared" si="6"/>
        <v>#VALUE!</v>
      </c>
      <c r="D10" s="2" t="e">
        <f t="shared" si="7"/>
        <v>#VALUE!</v>
      </c>
      <c r="E10" s="2" t="e">
        <f t="shared" si="8"/>
        <v>#VALUE!</v>
      </c>
      <c r="F10" s="2" t="e">
        <f t="shared" si="9"/>
        <v>#VALUE!</v>
      </c>
      <c r="G10" s="5" t="e">
        <f t="shared" si="15"/>
        <v>#VALUE!</v>
      </c>
      <c r="H10" s="1" t="e">
        <f t="shared" si="10"/>
        <v>#VALUE!</v>
      </c>
      <c r="I10" s="1" t="e">
        <f t="shared" si="12"/>
        <v>#VALUE!</v>
      </c>
      <c r="J10" s="6" t="e">
        <f t="shared" si="3"/>
        <v>#VALUE!</v>
      </c>
      <c r="M10" s="9" t="b">
        <f t="shared" si="4"/>
        <v>0</v>
      </c>
      <c r="N10" s="10" t="e">
        <f t="shared" ref="N10:DJ10" si="19">IF(N$1&gt;$L$2,"",IF(N$1=$L$2,1,IF($L$2-N$1=$L$1-$M10,$L$3^($L$1-$M10),($L$3*N11*O11/(N11+($L$3-1)*O11)))))</f>
        <v>#DIV/0!</v>
      </c>
      <c r="O10" s="10" t="e">
        <f t="shared" si="19"/>
        <v>#DIV/0!</v>
      </c>
      <c r="P10" s="10">
        <f t="shared" si="19"/>
        <v>1</v>
      </c>
      <c r="Q10" s="10" t="str">
        <f t="shared" si="19"/>
        <v/>
      </c>
      <c r="R10" s="10" t="str">
        <f t="shared" si="19"/>
        <v/>
      </c>
      <c r="S10" s="10" t="str">
        <f t="shared" si="19"/>
        <v/>
      </c>
      <c r="T10" s="10" t="str">
        <f t="shared" si="19"/>
        <v/>
      </c>
      <c r="U10" s="10" t="str">
        <f t="shared" si="19"/>
        <v/>
      </c>
      <c r="V10" s="10" t="str">
        <f t="shared" si="19"/>
        <v/>
      </c>
      <c r="W10" s="10" t="str">
        <f t="shared" si="19"/>
        <v/>
      </c>
      <c r="X10" s="10" t="str">
        <f t="shared" si="19"/>
        <v/>
      </c>
      <c r="Y10" s="10" t="str">
        <f t="shared" si="19"/>
        <v/>
      </c>
      <c r="Z10" s="10" t="str">
        <f t="shared" si="19"/>
        <v/>
      </c>
      <c r="AA10" s="10" t="str">
        <f t="shared" si="19"/>
        <v/>
      </c>
      <c r="AB10" s="10" t="str">
        <f t="shared" si="19"/>
        <v/>
      </c>
      <c r="AC10" s="10" t="str">
        <f t="shared" si="19"/>
        <v/>
      </c>
      <c r="AD10" s="10" t="str">
        <f t="shared" si="19"/>
        <v/>
      </c>
      <c r="AE10" s="10" t="str">
        <f t="shared" si="19"/>
        <v/>
      </c>
      <c r="AF10" s="10" t="str">
        <f t="shared" si="19"/>
        <v/>
      </c>
      <c r="AG10" s="10" t="str">
        <f t="shared" si="19"/>
        <v/>
      </c>
      <c r="AH10" s="10" t="str">
        <f t="shared" si="19"/>
        <v/>
      </c>
      <c r="AI10" s="10" t="str">
        <f t="shared" si="19"/>
        <v/>
      </c>
      <c r="AJ10" s="10" t="str">
        <f t="shared" si="19"/>
        <v/>
      </c>
      <c r="AK10" s="10" t="str">
        <f t="shared" si="19"/>
        <v/>
      </c>
      <c r="AL10" s="10" t="str">
        <f t="shared" si="19"/>
        <v/>
      </c>
      <c r="AM10" s="10" t="str">
        <f t="shared" si="19"/>
        <v/>
      </c>
      <c r="AN10" s="10" t="str">
        <f t="shared" si="19"/>
        <v/>
      </c>
      <c r="AO10" s="10" t="str">
        <f t="shared" si="19"/>
        <v/>
      </c>
      <c r="AP10" s="10" t="str">
        <f t="shared" si="19"/>
        <v/>
      </c>
      <c r="AQ10" s="10" t="str">
        <f t="shared" si="19"/>
        <v/>
      </c>
      <c r="AR10" s="10" t="str">
        <f t="shared" si="19"/>
        <v/>
      </c>
      <c r="AS10" s="10" t="str">
        <f t="shared" si="19"/>
        <v/>
      </c>
      <c r="AT10" s="10" t="str">
        <f t="shared" si="19"/>
        <v/>
      </c>
      <c r="AU10" s="10" t="str">
        <f t="shared" si="19"/>
        <v/>
      </c>
      <c r="AV10" s="10" t="str">
        <f t="shared" si="19"/>
        <v/>
      </c>
      <c r="AW10" s="10" t="str">
        <f t="shared" si="19"/>
        <v/>
      </c>
      <c r="AX10" s="10" t="str">
        <f t="shared" si="19"/>
        <v/>
      </c>
      <c r="AY10" s="10" t="str">
        <f t="shared" si="19"/>
        <v/>
      </c>
      <c r="AZ10" s="10" t="str">
        <f t="shared" si="19"/>
        <v/>
      </c>
      <c r="BA10" s="10" t="str">
        <f t="shared" si="19"/>
        <v/>
      </c>
      <c r="BB10" s="10" t="str">
        <f t="shared" si="19"/>
        <v/>
      </c>
      <c r="BC10" s="10" t="str">
        <f t="shared" si="19"/>
        <v/>
      </c>
      <c r="BD10" s="10" t="str">
        <f t="shared" si="19"/>
        <v/>
      </c>
      <c r="BE10" s="10" t="str">
        <f t="shared" si="19"/>
        <v/>
      </c>
      <c r="BF10" s="10" t="str">
        <f t="shared" si="19"/>
        <v/>
      </c>
      <c r="BG10" s="10" t="str">
        <f t="shared" si="19"/>
        <v/>
      </c>
      <c r="BH10" s="10" t="str">
        <f t="shared" si="19"/>
        <v/>
      </c>
      <c r="BI10" s="10" t="str">
        <f t="shared" si="19"/>
        <v/>
      </c>
      <c r="BJ10" s="10" t="str">
        <f t="shared" si="19"/>
        <v/>
      </c>
      <c r="BK10" s="10" t="str">
        <f t="shared" si="19"/>
        <v/>
      </c>
      <c r="BL10" s="10" t="str">
        <f t="shared" si="19"/>
        <v/>
      </c>
      <c r="BM10" s="10" t="str">
        <f t="shared" si="19"/>
        <v/>
      </c>
      <c r="BN10" s="10" t="str">
        <f t="shared" si="19"/>
        <v/>
      </c>
      <c r="BO10" s="10" t="str">
        <f t="shared" si="19"/>
        <v/>
      </c>
      <c r="BP10" s="10" t="str">
        <f t="shared" si="19"/>
        <v/>
      </c>
      <c r="BQ10" s="10" t="str">
        <f t="shared" si="19"/>
        <v/>
      </c>
      <c r="BR10" s="10" t="str">
        <f t="shared" si="19"/>
        <v/>
      </c>
      <c r="BS10" s="10" t="str">
        <f t="shared" si="19"/>
        <v/>
      </c>
      <c r="BT10" s="10" t="str">
        <f t="shared" si="19"/>
        <v/>
      </c>
      <c r="BU10" s="10" t="str">
        <f t="shared" si="19"/>
        <v/>
      </c>
      <c r="BV10" s="10" t="str">
        <f t="shared" si="19"/>
        <v/>
      </c>
      <c r="BW10" s="10" t="str">
        <f t="shared" si="19"/>
        <v/>
      </c>
      <c r="BX10" s="10" t="str">
        <f t="shared" si="19"/>
        <v/>
      </c>
      <c r="BY10" s="10" t="str">
        <f t="shared" si="19"/>
        <v/>
      </c>
      <c r="BZ10" s="10" t="str">
        <f t="shared" si="19"/>
        <v/>
      </c>
      <c r="CA10" s="10" t="str">
        <f t="shared" si="19"/>
        <v/>
      </c>
      <c r="CB10" s="10" t="str">
        <f t="shared" si="19"/>
        <v/>
      </c>
      <c r="CC10" s="10" t="str">
        <f t="shared" si="19"/>
        <v/>
      </c>
      <c r="CD10" s="10" t="str">
        <f t="shared" si="19"/>
        <v/>
      </c>
      <c r="CE10" s="10" t="str">
        <f t="shared" si="19"/>
        <v/>
      </c>
      <c r="CF10" s="10" t="str">
        <f t="shared" si="19"/>
        <v/>
      </c>
      <c r="CG10" s="10" t="str">
        <f t="shared" si="19"/>
        <v/>
      </c>
      <c r="CH10" s="10" t="str">
        <f t="shared" si="19"/>
        <v/>
      </c>
      <c r="CI10" s="10" t="str">
        <f t="shared" si="19"/>
        <v/>
      </c>
      <c r="CJ10" s="10" t="str">
        <f t="shared" si="19"/>
        <v/>
      </c>
      <c r="CK10" s="10" t="str">
        <f t="shared" si="19"/>
        <v/>
      </c>
      <c r="CL10" s="10" t="str">
        <f t="shared" si="19"/>
        <v/>
      </c>
      <c r="CM10" s="10" t="str">
        <f t="shared" si="19"/>
        <v/>
      </c>
      <c r="CN10" s="10" t="str">
        <f t="shared" si="19"/>
        <v/>
      </c>
      <c r="CO10" s="10" t="str">
        <f t="shared" si="19"/>
        <v/>
      </c>
      <c r="CP10" s="10" t="str">
        <f t="shared" si="19"/>
        <v/>
      </c>
      <c r="CQ10" s="10" t="str">
        <f t="shared" si="19"/>
        <v/>
      </c>
      <c r="CR10" s="10" t="str">
        <f t="shared" si="19"/>
        <v/>
      </c>
      <c r="CS10" s="10" t="str">
        <f t="shared" si="19"/>
        <v/>
      </c>
      <c r="CT10" s="10" t="str">
        <f t="shared" si="19"/>
        <v/>
      </c>
      <c r="CU10" s="10" t="str">
        <f t="shared" si="19"/>
        <v/>
      </c>
      <c r="CV10" s="10" t="str">
        <f t="shared" si="19"/>
        <v/>
      </c>
      <c r="CW10" s="10" t="str">
        <f t="shared" si="19"/>
        <v/>
      </c>
      <c r="CX10" s="10" t="str">
        <f t="shared" si="19"/>
        <v/>
      </c>
      <c r="CY10" s="10" t="str">
        <f t="shared" si="19"/>
        <v/>
      </c>
      <c r="CZ10" s="10" t="str">
        <f t="shared" si="19"/>
        <v/>
      </c>
      <c r="DA10" s="10" t="str">
        <f t="shared" si="19"/>
        <v/>
      </c>
      <c r="DB10" s="10" t="str">
        <f t="shared" si="19"/>
        <v/>
      </c>
      <c r="DC10" s="10" t="str">
        <f t="shared" si="19"/>
        <v/>
      </c>
      <c r="DD10" s="10" t="str">
        <f t="shared" si="19"/>
        <v/>
      </c>
      <c r="DE10" s="10" t="str">
        <f t="shared" si="19"/>
        <v/>
      </c>
      <c r="DF10" s="10" t="str">
        <f t="shared" si="19"/>
        <v/>
      </c>
      <c r="DG10" s="10" t="str">
        <f t="shared" si="19"/>
        <v/>
      </c>
      <c r="DH10" s="10" t="str">
        <f t="shared" si="19"/>
        <v/>
      </c>
      <c r="DI10" s="10" t="str">
        <f t="shared" si="19"/>
        <v/>
      </c>
      <c r="DJ10" s="10" t="str">
        <f t="shared" si="19"/>
        <v/>
      </c>
    </row>
    <row r="11" spans="1:114" ht="15.75" customHeight="1">
      <c r="A11" s="1">
        <f>Gerenciamento!D11</f>
        <v>0</v>
      </c>
      <c r="B11" s="1" t="e">
        <f t="shared" si="2"/>
        <v>#VALUE!</v>
      </c>
      <c r="C11" s="2" t="e">
        <f t="shared" si="6"/>
        <v>#VALUE!</v>
      </c>
      <c r="D11" s="2" t="e">
        <f t="shared" si="7"/>
        <v>#VALUE!</v>
      </c>
      <c r="E11" s="2" t="e">
        <f t="shared" si="8"/>
        <v>#VALUE!</v>
      </c>
      <c r="F11" s="2" t="e">
        <f t="shared" si="9"/>
        <v>#VALUE!</v>
      </c>
      <c r="G11" s="5" t="e">
        <f t="shared" si="15"/>
        <v>#VALUE!</v>
      </c>
      <c r="H11" s="1" t="e">
        <f t="shared" si="10"/>
        <v>#VALUE!</v>
      </c>
      <c r="I11" s="1" t="e">
        <f t="shared" si="12"/>
        <v>#VALUE!</v>
      </c>
      <c r="J11" s="6" t="e">
        <f t="shared" si="3"/>
        <v>#VALUE!</v>
      </c>
      <c r="M11" s="9" t="b">
        <f t="shared" si="4"/>
        <v>0</v>
      </c>
      <c r="N11" s="10" t="e">
        <f t="shared" ref="N11:DJ11" si="20">IF(N$1&gt;$L$2,"",IF(N$1=$L$2,1,IF($L$2-N$1=$L$1-$M11,$L$3^($L$1-$M11),($L$3*N12*O12/(N12+($L$3-1)*O12)))))</f>
        <v>#DIV/0!</v>
      </c>
      <c r="O11" s="10" t="e">
        <f t="shared" si="20"/>
        <v>#DIV/0!</v>
      </c>
      <c r="P11" s="10">
        <f t="shared" si="20"/>
        <v>1</v>
      </c>
      <c r="Q11" s="10" t="str">
        <f t="shared" si="20"/>
        <v/>
      </c>
      <c r="R11" s="10" t="str">
        <f t="shared" si="20"/>
        <v/>
      </c>
      <c r="S11" s="10" t="str">
        <f t="shared" si="20"/>
        <v/>
      </c>
      <c r="T11" s="10" t="str">
        <f t="shared" si="20"/>
        <v/>
      </c>
      <c r="U11" s="10" t="str">
        <f t="shared" si="20"/>
        <v/>
      </c>
      <c r="V11" s="10" t="str">
        <f t="shared" si="20"/>
        <v/>
      </c>
      <c r="W11" s="10" t="str">
        <f t="shared" si="20"/>
        <v/>
      </c>
      <c r="X11" s="10" t="str">
        <f t="shared" si="20"/>
        <v/>
      </c>
      <c r="Y11" s="10" t="str">
        <f t="shared" si="20"/>
        <v/>
      </c>
      <c r="Z11" s="10" t="str">
        <f t="shared" si="20"/>
        <v/>
      </c>
      <c r="AA11" s="10" t="str">
        <f t="shared" si="20"/>
        <v/>
      </c>
      <c r="AB11" s="10" t="str">
        <f t="shared" si="20"/>
        <v/>
      </c>
      <c r="AC11" s="10" t="str">
        <f t="shared" si="20"/>
        <v/>
      </c>
      <c r="AD11" s="10" t="str">
        <f t="shared" si="20"/>
        <v/>
      </c>
      <c r="AE11" s="10" t="str">
        <f t="shared" si="20"/>
        <v/>
      </c>
      <c r="AF11" s="10" t="str">
        <f t="shared" si="20"/>
        <v/>
      </c>
      <c r="AG11" s="10" t="str">
        <f t="shared" si="20"/>
        <v/>
      </c>
      <c r="AH11" s="10" t="str">
        <f t="shared" si="20"/>
        <v/>
      </c>
      <c r="AI11" s="10" t="str">
        <f t="shared" si="20"/>
        <v/>
      </c>
      <c r="AJ11" s="10" t="str">
        <f t="shared" si="20"/>
        <v/>
      </c>
      <c r="AK11" s="10" t="str">
        <f t="shared" si="20"/>
        <v/>
      </c>
      <c r="AL11" s="10" t="str">
        <f t="shared" si="20"/>
        <v/>
      </c>
      <c r="AM11" s="10" t="str">
        <f t="shared" si="20"/>
        <v/>
      </c>
      <c r="AN11" s="10" t="str">
        <f t="shared" si="20"/>
        <v/>
      </c>
      <c r="AO11" s="10" t="str">
        <f t="shared" si="20"/>
        <v/>
      </c>
      <c r="AP11" s="10" t="str">
        <f t="shared" si="20"/>
        <v/>
      </c>
      <c r="AQ11" s="10" t="str">
        <f t="shared" si="20"/>
        <v/>
      </c>
      <c r="AR11" s="10" t="str">
        <f t="shared" si="20"/>
        <v/>
      </c>
      <c r="AS11" s="10" t="str">
        <f t="shared" si="20"/>
        <v/>
      </c>
      <c r="AT11" s="10" t="str">
        <f t="shared" si="20"/>
        <v/>
      </c>
      <c r="AU11" s="10" t="str">
        <f t="shared" si="20"/>
        <v/>
      </c>
      <c r="AV11" s="10" t="str">
        <f t="shared" si="20"/>
        <v/>
      </c>
      <c r="AW11" s="10" t="str">
        <f t="shared" si="20"/>
        <v/>
      </c>
      <c r="AX11" s="10" t="str">
        <f t="shared" si="20"/>
        <v/>
      </c>
      <c r="AY11" s="10" t="str">
        <f t="shared" si="20"/>
        <v/>
      </c>
      <c r="AZ11" s="10" t="str">
        <f t="shared" si="20"/>
        <v/>
      </c>
      <c r="BA11" s="10" t="str">
        <f t="shared" si="20"/>
        <v/>
      </c>
      <c r="BB11" s="10" t="str">
        <f t="shared" si="20"/>
        <v/>
      </c>
      <c r="BC11" s="10" t="str">
        <f t="shared" si="20"/>
        <v/>
      </c>
      <c r="BD11" s="10" t="str">
        <f t="shared" si="20"/>
        <v/>
      </c>
      <c r="BE11" s="10" t="str">
        <f t="shared" si="20"/>
        <v/>
      </c>
      <c r="BF11" s="10" t="str">
        <f t="shared" si="20"/>
        <v/>
      </c>
      <c r="BG11" s="10" t="str">
        <f t="shared" si="20"/>
        <v/>
      </c>
      <c r="BH11" s="10" t="str">
        <f t="shared" si="20"/>
        <v/>
      </c>
      <c r="BI11" s="10" t="str">
        <f t="shared" si="20"/>
        <v/>
      </c>
      <c r="BJ11" s="10" t="str">
        <f t="shared" si="20"/>
        <v/>
      </c>
      <c r="BK11" s="10" t="str">
        <f t="shared" si="20"/>
        <v/>
      </c>
      <c r="BL11" s="10" t="str">
        <f t="shared" si="20"/>
        <v/>
      </c>
      <c r="BM11" s="10" t="str">
        <f t="shared" si="20"/>
        <v/>
      </c>
      <c r="BN11" s="10" t="str">
        <f t="shared" si="20"/>
        <v/>
      </c>
      <c r="BO11" s="10" t="str">
        <f t="shared" si="20"/>
        <v/>
      </c>
      <c r="BP11" s="10" t="str">
        <f t="shared" si="20"/>
        <v/>
      </c>
      <c r="BQ11" s="10" t="str">
        <f t="shared" si="20"/>
        <v/>
      </c>
      <c r="BR11" s="10" t="str">
        <f t="shared" si="20"/>
        <v/>
      </c>
      <c r="BS11" s="10" t="str">
        <f t="shared" si="20"/>
        <v/>
      </c>
      <c r="BT11" s="10" t="str">
        <f t="shared" si="20"/>
        <v/>
      </c>
      <c r="BU11" s="10" t="str">
        <f t="shared" si="20"/>
        <v/>
      </c>
      <c r="BV11" s="10" t="str">
        <f t="shared" si="20"/>
        <v/>
      </c>
      <c r="BW11" s="10" t="str">
        <f t="shared" si="20"/>
        <v/>
      </c>
      <c r="BX11" s="10" t="str">
        <f t="shared" si="20"/>
        <v/>
      </c>
      <c r="BY11" s="10" t="str">
        <f t="shared" si="20"/>
        <v/>
      </c>
      <c r="BZ11" s="10" t="str">
        <f t="shared" si="20"/>
        <v/>
      </c>
      <c r="CA11" s="10" t="str">
        <f t="shared" si="20"/>
        <v/>
      </c>
      <c r="CB11" s="10" t="str">
        <f t="shared" si="20"/>
        <v/>
      </c>
      <c r="CC11" s="10" t="str">
        <f t="shared" si="20"/>
        <v/>
      </c>
      <c r="CD11" s="10" t="str">
        <f t="shared" si="20"/>
        <v/>
      </c>
      <c r="CE11" s="10" t="str">
        <f t="shared" si="20"/>
        <v/>
      </c>
      <c r="CF11" s="10" t="str">
        <f t="shared" si="20"/>
        <v/>
      </c>
      <c r="CG11" s="10" t="str">
        <f t="shared" si="20"/>
        <v/>
      </c>
      <c r="CH11" s="10" t="str">
        <f t="shared" si="20"/>
        <v/>
      </c>
      <c r="CI11" s="10" t="str">
        <f t="shared" si="20"/>
        <v/>
      </c>
      <c r="CJ11" s="10" t="str">
        <f t="shared" si="20"/>
        <v/>
      </c>
      <c r="CK11" s="10" t="str">
        <f t="shared" si="20"/>
        <v/>
      </c>
      <c r="CL11" s="10" t="str">
        <f t="shared" si="20"/>
        <v/>
      </c>
      <c r="CM11" s="10" t="str">
        <f t="shared" si="20"/>
        <v/>
      </c>
      <c r="CN11" s="10" t="str">
        <f t="shared" si="20"/>
        <v/>
      </c>
      <c r="CO11" s="10" t="str">
        <f t="shared" si="20"/>
        <v/>
      </c>
      <c r="CP11" s="10" t="str">
        <f t="shared" si="20"/>
        <v/>
      </c>
      <c r="CQ11" s="10" t="str">
        <f t="shared" si="20"/>
        <v/>
      </c>
      <c r="CR11" s="10" t="str">
        <f t="shared" si="20"/>
        <v/>
      </c>
      <c r="CS11" s="10" t="str">
        <f t="shared" si="20"/>
        <v/>
      </c>
      <c r="CT11" s="10" t="str">
        <f t="shared" si="20"/>
        <v/>
      </c>
      <c r="CU11" s="10" t="str">
        <f t="shared" si="20"/>
        <v/>
      </c>
      <c r="CV11" s="10" t="str">
        <f t="shared" si="20"/>
        <v/>
      </c>
      <c r="CW11" s="10" t="str">
        <f t="shared" si="20"/>
        <v/>
      </c>
      <c r="CX11" s="10" t="str">
        <f t="shared" si="20"/>
        <v/>
      </c>
      <c r="CY11" s="10" t="str">
        <f t="shared" si="20"/>
        <v/>
      </c>
      <c r="CZ11" s="10" t="str">
        <f t="shared" si="20"/>
        <v/>
      </c>
      <c r="DA11" s="10" t="str">
        <f t="shared" si="20"/>
        <v/>
      </c>
      <c r="DB11" s="10" t="str">
        <f t="shared" si="20"/>
        <v/>
      </c>
      <c r="DC11" s="10" t="str">
        <f t="shared" si="20"/>
        <v/>
      </c>
      <c r="DD11" s="10" t="str">
        <f t="shared" si="20"/>
        <v/>
      </c>
      <c r="DE11" s="10" t="str">
        <f t="shared" si="20"/>
        <v/>
      </c>
      <c r="DF11" s="10" t="str">
        <f t="shared" si="20"/>
        <v/>
      </c>
      <c r="DG11" s="10" t="str">
        <f t="shared" si="20"/>
        <v/>
      </c>
      <c r="DH11" s="10" t="str">
        <f t="shared" si="20"/>
        <v/>
      </c>
      <c r="DI11" s="10" t="str">
        <f t="shared" si="20"/>
        <v/>
      </c>
      <c r="DJ11" s="10" t="str">
        <f t="shared" si="20"/>
        <v/>
      </c>
    </row>
    <row r="12" spans="1:114" ht="15.75" customHeight="1">
      <c r="A12" s="1">
        <f>Gerenciamento!D12</f>
        <v>0</v>
      </c>
      <c r="B12" s="1" t="e">
        <f t="shared" si="2"/>
        <v>#VALUE!</v>
      </c>
      <c r="C12" s="2" t="e">
        <f t="shared" si="6"/>
        <v>#VALUE!</v>
      </c>
      <c r="D12" s="2" t="e">
        <f t="shared" si="7"/>
        <v>#VALUE!</v>
      </c>
      <c r="E12" s="2" t="e">
        <f t="shared" si="8"/>
        <v>#VALUE!</v>
      </c>
      <c r="F12" s="2" t="e">
        <f t="shared" si="9"/>
        <v>#VALUE!</v>
      </c>
      <c r="G12" s="5" t="e">
        <f t="shared" si="15"/>
        <v>#VALUE!</v>
      </c>
      <c r="H12" s="1" t="e">
        <f t="shared" si="10"/>
        <v>#VALUE!</v>
      </c>
      <c r="I12" s="1" t="e">
        <f t="shared" si="12"/>
        <v>#VALUE!</v>
      </c>
      <c r="J12" s="6" t="e">
        <f t="shared" si="3"/>
        <v>#VALUE!</v>
      </c>
      <c r="M12" s="9" t="b">
        <f t="shared" si="4"/>
        <v>0</v>
      </c>
      <c r="N12" s="10" t="e">
        <f t="shared" ref="N12:DJ12" si="21">IF(N$1&gt;$L$2,"",IF(N$1=$L$2,1,IF($L$2-N$1=$L$1-$M12,$L$3^($L$1-$M12),($L$3*N13*O13/(N13+($L$3-1)*O13)))))</f>
        <v>#DIV/0!</v>
      </c>
      <c r="O12" s="10" t="e">
        <f t="shared" si="21"/>
        <v>#DIV/0!</v>
      </c>
      <c r="P12" s="10">
        <f t="shared" si="21"/>
        <v>1</v>
      </c>
      <c r="Q12" s="10" t="str">
        <f t="shared" si="21"/>
        <v/>
      </c>
      <c r="R12" s="10" t="str">
        <f t="shared" si="21"/>
        <v/>
      </c>
      <c r="S12" s="10" t="str">
        <f t="shared" si="21"/>
        <v/>
      </c>
      <c r="T12" s="10" t="str">
        <f t="shared" si="21"/>
        <v/>
      </c>
      <c r="U12" s="10" t="str">
        <f t="shared" si="21"/>
        <v/>
      </c>
      <c r="V12" s="10" t="str">
        <f t="shared" si="21"/>
        <v/>
      </c>
      <c r="W12" s="10" t="str">
        <f t="shared" si="21"/>
        <v/>
      </c>
      <c r="X12" s="10" t="str">
        <f t="shared" si="21"/>
        <v/>
      </c>
      <c r="Y12" s="10" t="str">
        <f t="shared" si="21"/>
        <v/>
      </c>
      <c r="Z12" s="10" t="str">
        <f t="shared" si="21"/>
        <v/>
      </c>
      <c r="AA12" s="10" t="str">
        <f t="shared" si="21"/>
        <v/>
      </c>
      <c r="AB12" s="10" t="str">
        <f t="shared" si="21"/>
        <v/>
      </c>
      <c r="AC12" s="10" t="str">
        <f t="shared" si="21"/>
        <v/>
      </c>
      <c r="AD12" s="10" t="str">
        <f t="shared" si="21"/>
        <v/>
      </c>
      <c r="AE12" s="10" t="str">
        <f t="shared" si="21"/>
        <v/>
      </c>
      <c r="AF12" s="10" t="str">
        <f t="shared" si="21"/>
        <v/>
      </c>
      <c r="AG12" s="10" t="str">
        <f t="shared" si="21"/>
        <v/>
      </c>
      <c r="AH12" s="10" t="str">
        <f t="shared" si="21"/>
        <v/>
      </c>
      <c r="AI12" s="10" t="str">
        <f t="shared" si="21"/>
        <v/>
      </c>
      <c r="AJ12" s="10" t="str">
        <f t="shared" si="21"/>
        <v/>
      </c>
      <c r="AK12" s="10" t="str">
        <f t="shared" si="21"/>
        <v/>
      </c>
      <c r="AL12" s="10" t="str">
        <f t="shared" si="21"/>
        <v/>
      </c>
      <c r="AM12" s="10" t="str">
        <f t="shared" si="21"/>
        <v/>
      </c>
      <c r="AN12" s="10" t="str">
        <f t="shared" si="21"/>
        <v/>
      </c>
      <c r="AO12" s="10" t="str">
        <f t="shared" si="21"/>
        <v/>
      </c>
      <c r="AP12" s="10" t="str">
        <f t="shared" si="21"/>
        <v/>
      </c>
      <c r="AQ12" s="10" t="str">
        <f t="shared" si="21"/>
        <v/>
      </c>
      <c r="AR12" s="10" t="str">
        <f t="shared" si="21"/>
        <v/>
      </c>
      <c r="AS12" s="10" t="str">
        <f t="shared" si="21"/>
        <v/>
      </c>
      <c r="AT12" s="10" t="str">
        <f t="shared" si="21"/>
        <v/>
      </c>
      <c r="AU12" s="10" t="str">
        <f t="shared" si="21"/>
        <v/>
      </c>
      <c r="AV12" s="10" t="str">
        <f t="shared" si="21"/>
        <v/>
      </c>
      <c r="AW12" s="10" t="str">
        <f t="shared" si="21"/>
        <v/>
      </c>
      <c r="AX12" s="10" t="str">
        <f t="shared" si="21"/>
        <v/>
      </c>
      <c r="AY12" s="10" t="str">
        <f t="shared" si="21"/>
        <v/>
      </c>
      <c r="AZ12" s="10" t="str">
        <f t="shared" si="21"/>
        <v/>
      </c>
      <c r="BA12" s="10" t="str">
        <f t="shared" si="21"/>
        <v/>
      </c>
      <c r="BB12" s="10" t="str">
        <f t="shared" si="21"/>
        <v/>
      </c>
      <c r="BC12" s="10" t="str">
        <f t="shared" si="21"/>
        <v/>
      </c>
      <c r="BD12" s="10" t="str">
        <f t="shared" si="21"/>
        <v/>
      </c>
      <c r="BE12" s="10" t="str">
        <f t="shared" si="21"/>
        <v/>
      </c>
      <c r="BF12" s="10" t="str">
        <f t="shared" si="21"/>
        <v/>
      </c>
      <c r="BG12" s="10" t="str">
        <f t="shared" si="21"/>
        <v/>
      </c>
      <c r="BH12" s="10" t="str">
        <f t="shared" si="21"/>
        <v/>
      </c>
      <c r="BI12" s="10" t="str">
        <f t="shared" si="21"/>
        <v/>
      </c>
      <c r="BJ12" s="10" t="str">
        <f t="shared" si="21"/>
        <v/>
      </c>
      <c r="BK12" s="10" t="str">
        <f t="shared" si="21"/>
        <v/>
      </c>
      <c r="BL12" s="10" t="str">
        <f t="shared" si="21"/>
        <v/>
      </c>
      <c r="BM12" s="10" t="str">
        <f t="shared" si="21"/>
        <v/>
      </c>
      <c r="BN12" s="10" t="str">
        <f t="shared" si="21"/>
        <v/>
      </c>
      <c r="BO12" s="10" t="str">
        <f t="shared" si="21"/>
        <v/>
      </c>
      <c r="BP12" s="10" t="str">
        <f t="shared" si="21"/>
        <v/>
      </c>
      <c r="BQ12" s="10" t="str">
        <f t="shared" si="21"/>
        <v/>
      </c>
      <c r="BR12" s="10" t="str">
        <f t="shared" si="21"/>
        <v/>
      </c>
      <c r="BS12" s="10" t="str">
        <f t="shared" si="21"/>
        <v/>
      </c>
      <c r="BT12" s="10" t="str">
        <f t="shared" si="21"/>
        <v/>
      </c>
      <c r="BU12" s="10" t="str">
        <f t="shared" si="21"/>
        <v/>
      </c>
      <c r="BV12" s="10" t="str">
        <f t="shared" si="21"/>
        <v/>
      </c>
      <c r="BW12" s="10" t="str">
        <f t="shared" si="21"/>
        <v/>
      </c>
      <c r="BX12" s="10" t="str">
        <f t="shared" si="21"/>
        <v/>
      </c>
      <c r="BY12" s="10" t="str">
        <f t="shared" si="21"/>
        <v/>
      </c>
      <c r="BZ12" s="10" t="str">
        <f t="shared" si="21"/>
        <v/>
      </c>
      <c r="CA12" s="10" t="str">
        <f t="shared" si="21"/>
        <v/>
      </c>
      <c r="CB12" s="10" t="str">
        <f t="shared" si="21"/>
        <v/>
      </c>
      <c r="CC12" s="10" t="str">
        <f t="shared" si="21"/>
        <v/>
      </c>
      <c r="CD12" s="10" t="str">
        <f t="shared" si="21"/>
        <v/>
      </c>
      <c r="CE12" s="10" t="str">
        <f t="shared" si="21"/>
        <v/>
      </c>
      <c r="CF12" s="10" t="str">
        <f t="shared" si="21"/>
        <v/>
      </c>
      <c r="CG12" s="10" t="str">
        <f t="shared" si="21"/>
        <v/>
      </c>
      <c r="CH12" s="10" t="str">
        <f t="shared" si="21"/>
        <v/>
      </c>
      <c r="CI12" s="10" t="str">
        <f t="shared" si="21"/>
        <v/>
      </c>
      <c r="CJ12" s="10" t="str">
        <f t="shared" si="21"/>
        <v/>
      </c>
      <c r="CK12" s="10" t="str">
        <f t="shared" si="21"/>
        <v/>
      </c>
      <c r="CL12" s="10" t="str">
        <f t="shared" si="21"/>
        <v/>
      </c>
      <c r="CM12" s="10" t="str">
        <f t="shared" si="21"/>
        <v/>
      </c>
      <c r="CN12" s="10" t="str">
        <f t="shared" si="21"/>
        <v/>
      </c>
      <c r="CO12" s="10" t="str">
        <f t="shared" si="21"/>
        <v/>
      </c>
      <c r="CP12" s="10" t="str">
        <f t="shared" si="21"/>
        <v/>
      </c>
      <c r="CQ12" s="10" t="str">
        <f t="shared" si="21"/>
        <v/>
      </c>
      <c r="CR12" s="10" t="str">
        <f t="shared" si="21"/>
        <v/>
      </c>
      <c r="CS12" s="10" t="str">
        <f t="shared" si="21"/>
        <v/>
      </c>
      <c r="CT12" s="10" t="str">
        <f t="shared" si="21"/>
        <v/>
      </c>
      <c r="CU12" s="10" t="str">
        <f t="shared" si="21"/>
        <v/>
      </c>
      <c r="CV12" s="10" t="str">
        <f t="shared" si="21"/>
        <v/>
      </c>
      <c r="CW12" s="10" t="str">
        <f t="shared" si="21"/>
        <v/>
      </c>
      <c r="CX12" s="10" t="str">
        <f t="shared" si="21"/>
        <v/>
      </c>
      <c r="CY12" s="10" t="str">
        <f t="shared" si="21"/>
        <v/>
      </c>
      <c r="CZ12" s="10" t="str">
        <f t="shared" si="21"/>
        <v/>
      </c>
      <c r="DA12" s="10" t="str">
        <f t="shared" si="21"/>
        <v/>
      </c>
      <c r="DB12" s="10" t="str">
        <f t="shared" si="21"/>
        <v/>
      </c>
      <c r="DC12" s="10" t="str">
        <f t="shared" si="21"/>
        <v/>
      </c>
      <c r="DD12" s="10" t="str">
        <f t="shared" si="21"/>
        <v/>
      </c>
      <c r="DE12" s="10" t="str">
        <f t="shared" si="21"/>
        <v/>
      </c>
      <c r="DF12" s="10" t="str">
        <f t="shared" si="21"/>
        <v/>
      </c>
      <c r="DG12" s="10" t="str">
        <f t="shared" si="21"/>
        <v/>
      </c>
      <c r="DH12" s="10" t="str">
        <f t="shared" si="21"/>
        <v/>
      </c>
      <c r="DI12" s="10" t="str">
        <f t="shared" si="21"/>
        <v/>
      </c>
      <c r="DJ12" s="10" t="str">
        <f t="shared" si="21"/>
        <v/>
      </c>
    </row>
    <row r="13" spans="1:114" ht="15.75" customHeight="1">
      <c r="A13" s="1">
        <f>Gerenciamento!D13</f>
        <v>0</v>
      </c>
      <c r="B13" s="1" t="e">
        <f t="shared" si="2"/>
        <v>#VALUE!</v>
      </c>
      <c r="C13" s="2" t="e">
        <f t="shared" si="6"/>
        <v>#VALUE!</v>
      </c>
      <c r="D13" s="2" t="e">
        <f t="shared" si="7"/>
        <v>#VALUE!</v>
      </c>
      <c r="E13" s="2" t="e">
        <f t="shared" si="8"/>
        <v>#VALUE!</v>
      </c>
      <c r="F13" s="2" t="e">
        <f t="shared" si="9"/>
        <v>#VALUE!</v>
      </c>
      <c r="G13" s="5" t="e">
        <f t="shared" si="15"/>
        <v>#VALUE!</v>
      </c>
      <c r="H13" s="1" t="e">
        <f t="shared" si="10"/>
        <v>#VALUE!</v>
      </c>
      <c r="I13" s="1" t="e">
        <f t="shared" si="12"/>
        <v>#VALUE!</v>
      </c>
      <c r="J13" s="6" t="e">
        <f t="shared" si="3"/>
        <v>#VALUE!</v>
      </c>
      <c r="M13" s="9" t="b">
        <f t="shared" si="4"/>
        <v>0</v>
      </c>
      <c r="N13" s="10" t="e">
        <f t="shared" ref="N13:DJ13" si="22">IF(N$1&gt;$L$2,"",IF(N$1=$L$2,1,IF($L$2-N$1=$L$1-$M13,$L$3^($L$1-$M13),($L$3*N14*O14/(N14+($L$3-1)*O14)))))</f>
        <v>#DIV/0!</v>
      </c>
      <c r="O13" s="10" t="e">
        <f t="shared" si="22"/>
        <v>#DIV/0!</v>
      </c>
      <c r="P13" s="10">
        <f t="shared" si="22"/>
        <v>1</v>
      </c>
      <c r="Q13" s="10" t="str">
        <f t="shared" si="22"/>
        <v/>
      </c>
      <c r="R13" s="10" t="str">
        <f t="shared" si="22"/>
        <v/>
      </c>
      <c r="S13" s="10" t="str">
        <f t="shared" si="22"/>
        <v/>
      </c>
      <c r="T13" s="10" t="str">
        <f t="shared" si="22"/>
        <v/>
      </c>
      <c r="U13" s="10" t="str">
        <f t="shared" si="22"/>
        <v/>
      </c>
      <c r="V13" s="10" t="str">
        <f t="shared" si="22"/>
        <v/>
      </c>
      <c r="W13" s="10" t="str">
        <f t="shared" si="22"/>
        <v/>
      </c>
      <c r="X13" s="10" t="str">
        <f t="shared" si="22"/>
        <v/>
      </c>
      <c r="Y13" s="10" t="str">
        <f t="shared" si="22"/>
        <v/>
      </c>
      <c r="Z13" s="10" t="str">
        <f t="shared" si="22"/>
        <v/>
      </c>
      <c r="AA13" s="10" t="str">
        <f t="shared" si="22"/>
        <v/>
      </c>
      <c r="AB13" s="10" t="str">
        <f t="shared" si="22"/>
        <v/>
      </c>
      <c r="AC13" s="10" t="str">
        <f t="shared" si="22"/>
        <v/>
      </c>
      <c r="AD13" s="10" t="str">
        <f t="shared" si="22"/>
        <v/>
      </c>
      <c r="AE13" s="10" t="str">
        <f t="shared" si="22"/>
        <v/>
      </c>
      <c r="AF13" s="10" t="str">
        <f t="shared" si="22"/>
        <v/>
      </c>
      <c r="AG13" s="10" t="str">
        <f t="shared" si="22"/>
        <v/>
      </c>
      <c r="AH13" s="10" t="str">
        <f t="shared" si="22"/>
        <v/>
      </c>
      <c r="AI13" s="10" t="str">
        <f t="shared" si="22"/>
        <v/>
      </c>
      <c r="AJ13" s="10" t="str">
        <f t="shared" si="22"/>
        <v/>
      </c>
      <c r="AK13" s="10" t="str">
        <f t="shared" si="22"/>
        <v/>
      </c>
      <c r="AL13" s="10" t="str">
        <f t="shared" si="22"/>
        <v/>
      </c>
      <c r="AM13" s="10" t="str">
        <f t="shared" si="22"/>
        <v/>
      </c>
      <c r="AN13" s="10" t="str">
        <f t="shared" si="22"/>
        <v/>
      </c>
      <c r="AO13" s="10" t="str">
        <f t="shared" si="22"/>
        <v/>
      </c>
      <c r="AP13" s="10" t="str">
        <f t="shared" si="22"/>
        <v/>
      </c>
      <c r="AQ13" s="10" t="str">
        <f t="shared" si="22"/>
        <v/>
      </c>
      <c r="AR13" s="10" t="str">
        <f t="shared" si="22"/>
        <v/>
      </c>
      <c r="AS13" s="10" t="str">
        <f t="shared" si="22"/>
        <v/>
      </c>
      <c r="AT13" s="10" t="str">
        <f t="shared" si="22"/>
        <v/>
      </c>
      <c r="AU13" s="10" t="str">
        <f t="shared" si="22"/>
        <v/>
      </c>
      <c r="AV13" s="10" t="str">
        <f t="shared" si="22"/>
        <v/>
      </c>
      <c r="AW13" s="10" t="str">
        <f t="shared" si="22"/>
        <v/>
      </c>
      <c r="AX13" s="10" t="str">
        <f t="shared" si="22"/>
        <v/>
      </c>
      <c r="AY13" s="10" t="str">
        <f t="shared" si="22"/>
        <v/>
      </c>
      <c r="AZ13" s="10" t="str">
        <f t="shared" si="22"/>
        <v/>
      </c>
      <c r="BA13" s="10" t="str">
        <f t="shared" si="22"/>
        <v/>
      </c>
      <c r="BB13" s="10" t="str">
        <f t="shared" si="22"/>
        <v/>
      </c>
      <c r="BC13" s="10" t="str">
        <f t="shared" si="22"/>
        <v/>
      </c>
      <c r="BD13" s="10" t="str">
        <f t="shared" si="22"/>
        <v/>
      </c>
      <c r="BE13" s="10" t="str">
        <f t="shared" si="22"/>
        <v/>
      </c>
      <c r="BF13" s="10" t="str">
        <f t="shared" si="22"/>
        <v/>
      </c>
      <c r="BG13" s="10" t="str">
        <f t="shared" si="22"/>
        <v/>
      </c>
      <c r="BH13" s="10" t="str">
        <f t="shared" si="22"/>
        <v/>
      </c>
      <c r="BI13" s="10" t="str">
        <f t="shared" si="22"/>
        <v/>
      </c>
      <c r="BJ13" s="10" t="str">
        <f t="shared" si="22"/>
        <v/>
      </c>
      <c r="BK13" s="10" t="str">
        <f t="shared" si="22"/>
        <v/>
      </c>
      <c r="BL13" s="10" t="str">
        <f t="shared" si="22"/>
        <v/>
      </c>
      <c r="BM13" s="10" t="str">
        <f t="shared" si="22"/>
        <v/>
      </c>
      <c r="BN13" s="10" t="str">
        <f t="shared" si="22"/>
        <v/>
      </c>
      <c r="BO13" s="10" t="str">
        <f t="shared" si="22"/>
        <v/>
      </c>
      <c r="BP13" s="10" t="str">
        <f t="shared" si="22"/>
        <v/>
      </c>
      <c r="BQ13" s="10" t="str">
        <f t="shared" si="22"/>
        <v/>
      </c>
      <c r="BR13" s="10" t="str">
        <f t="shared" si="22"/>
        <v/>
      </c>
      <c r="BS13" s="10" t="str">
        <f t="shared" si="22"/>
        <v/>
      </c>
      <c r="BT13" s="10" t="str">
        <f t="shared" si="22"/>
        <v/>
      </c>
      <c r="BU13" s="10" t="str">
        <f t="shared" si="22"/>
        <v/>
      </c>
      <c r="BV13" s="10" t="str">
        <f t="shared" si="22"/>
        <v/>
      </c>
      <c r="BW13" s="10" t="str">
        <f t="shared" si="22"/>
        <v/>
      </c>
      <c r="BX13" s="10" t="str">
        <f t="shared" si="22"/>
        <v/>
      </c>
      <c r="BY13" s="10" t="str">
        <f t="shared" si="22"/>
        <v/>
      </c>
      <c r="BZ13" s="10" t="str">
        <f t="shared" si="22"/>
        <v/>
      </c>
      <c r="CA13" s="10" t="str">
        <f t="shared" si="22"/>
        <v/>
      </c>
      <c r="CB13" s="10" t="str">
        <f t="shared" si="22"/>
        <v/>
      </c>
      <c r="CC13" s="10" t="str">
        <f t="shared" si="22"/>
        <v/>
      </c>
      <c r="CD13" s="10" t="str">
        <f t="shared" si="22"/>
        <v/>
      </c>
      <c r="CE13" s="10" t="str">
        <f t="shared" si="22"/>
        <v/>
      </c>
      <c r="CF13" s="10" t="str">
        <f t="shared" si="22"/>
        <v/>
      </c>
      <c r="CG13" s="10" t="str">
        <f t="shared" si="22"/>
        <v/>
      </c>
      <c r="CH13" s="10" t="str">
        <f t="shared" si="22"/>
        <v/>
      </c>
      <c r="CI13" s="10" t="str">
        <f t="shared" si="22"/>
        <v/>
      </c>
      <c r="CJ13" s="10" t="str">
        <f t="shared" si="22"/>
        <v/>
      </c>
      <c r="CK13" s="10" t="str">
        <f t="shared" si="22"/>
        <v/>
      </c>
      <c r="CL13" s="10" t="str">
        <f t="shared" si="22"/>
        <v/>
      </c>
      <c r="CM13" s="10" t="str">
        <f t="shared" si="22"/>
        <v/>
      </c>
      <c r="CN13" s="10" t="str">
        <f t="shared" si="22"/>
        <v/>
      </c>
      <c r="CO13" s="10" t="str">
        <f t="shared" si="22"/>
        <v/>
      </c>
      <c r="CP13" s="10" t="str">
        <f t="shared" si="22"/>
        <v/>
      </c>
      <c r="CQ13" s="10" t="str">
        <f t="shared" si="22"/>
        <v/>
      </c>
      <c r="CR13" s="10" t="str">
        <f t="shared" si="22"/>
        <v/>
      </c>
      <c r="CS13" s="10" t="str">
        <f t="shared" si="22"/>
        <v/>
      </c>
      <c r="CT13" s="10" t="str">
        <f t="shared" si="22"/>
        <v/>
      </c>
      <c r="CU13" s="10" t="str">
        <f t="shared" si="22"/>
        <v/>
      </c>
      <c r="CV13" s="10" t="str">
        <f t="shared" si="22"/>
        <v/>
      </c>
      <c r="CW13" s="10" t="str">
        <f t="shared" si="22"/>
        <v/>
      </c>
      <c r="CX13" s="10" t="str">
        <f t="shared" si="22"/>
        <v/>
      </c>
      <c r="CY13" s="10" t="str">
        <f t="shared" si="22"/>
        <v/>
      </c>
      <c r="CZ13" s="10" t="str">
        <f t="shared" si="22"/>
        <v/>
      </c>
      <c r="DA13" s="10" t="str">
        <f t="shared" si="22"/>
        <v/>
      </c>
      <c r="DB13" s="10" t="str">
        <f t="shared" si="22"/>
        <v/>
      </c>
      <c r="DC13" s="10" t="str">
        <f t="shared" si="22"/>
        <v/>
      </c>
      <c r="DD13" s="10" t="str">
        <f t="shared" si="22"/>
        <v/>
      </c>
      <c r="DE13" s="10" t="str">
        <f t="shared" si="22"/>
        <v/>
      </c>
      <c r="DF13" s="10" t="str">
        <f t="shared" si="22"/>
        <v/>
      </c>
      <c r="DG13" s="10" t="str">
        <f t="shared" si="22"/>
        <v/>
      </c>
      <c r="DH13" s="10" t="str">
        <f t="shared" si="22"/>
        <v/>
      </c>
      <c r="DI13" s="10" t="str">
        <f t="shared" si="22"/>
        <v/>
      </c>
      <c r="DJ13" s="10" t="str">
        <f t="shared" si="22"/>
        <v/>
      </c>
    </row>
    <row r="14" spans="1:114" ht="15.75" customHeight="1">
      <c r="A14" s="1">
        <f>Gerenciamento!D14</f>
        <v>0</v>
      </c>
      <c r="B14" s="1" t="e">
        <f t="shared" si="2"/>
        <v>#VALUE!</v>
      </c>
      <c r="C14" s="2" t="e">
        <f t="shared" si="6"/>
        <v>#VALUE!</v>
      </c>
      <c r="D14" s="2" t="e">
        <f t="shared" si="7"/>
        <v>#VALUE!</v>
      </c>
      <c r="E14" s="2" t="e">
        <f t="shared" si="8"/>
        <v>#VALUE!</v>
      </c>
      <c r="F14" s="2" t="e">
        <f t="shared" si="9"/>
        <v>#VALUE!</v>
      </c>
      <c r="G14" s="5" t="e">
        <f t="shared" si="15"/>
        <v>#VALUE!</v>
      </c>
      <c r="H14" s="1" t="e">
        <f t="shared" si="10"/>
        <v>#VALUE!</v>
      </c>
      <c r="I14" s="1" t="e">
        <f t="shared" si="12"/>
        <v>#VALUE!</v>
      </c>
      <c r="J14" s="6" t="e">
        <f t="shared" si="3"/>
        <v>#VALUE!</v>
      </c>
      <c r="M14" s="9" t="b">
        <f t="shared" si="4"/>
        <v>0</v>
      </c>
      <c r="N14" s="10" t="e">
        <f t="shared" ref="N14:DJ14" si="23">IF(N$1&gt;$L$2,"",IF(N$1=$L$2,1,IF($L$2-N$1=$L$1-$M14,$L$3^($L$1-$M14),($L$3*N15*O15/(N15+($L$3-1)*O15)))))</f>
        <v>#DIV/0!</v>
      </c>
      <c r="O14" s="10" t="e">
        <f t="shared" si="23"/>
        <v>#DIV/0!</v>
      </c>
      <c r="P14" s="10">
        <f t="shared" si="23"/>
        <v>1</v>
      </c>
      <c r="Q14" s="10" t="str">
        <f t="shared" si="23"/>
        <v/>
      </c>
      <c r="R14" s="10" t="str">
        <f t="shared" si="23"/>
        <v/>
      </c>
      <c r="S14" s="10" t="str">
        <f t="shared" si="23"/>
        <v/>
      </c>
      <c r="T14" s="10" t="str">
        <f t="shared" si="23"/>
        <v/>
      </c>
      <c r="U14" s="10" t="str">
        <f t="shared" si="23"/>
        <v/>
      </c>
      <c r="V14" s="10" t="str">
        <f t="shared" si="23"/>
        <v/>
      </c>
      <c r="W14" s="10" t="str">
        <f t="shared" si="23"/>
        <v/>
      </c>
      <c r="X14" s="10" t="str">
        <f t="shared" si="23"/>
        <v/>
      </c>
      <c r="Y14" s="10" t="str">
        <f t="shared" si="23"/>
        <v/>
      </c>
      <c r="Z14" s="10" t="str">
        <f t="shared" si="23"/>
        <v/>
      </c>
      <c r="AA14" s="10" t="str">
        <f t="shared" si="23"/>
        <v/>
      </c>
      <c r="AB14" s="10" t="str">
        <f t="shared" si="23"/>
        <v/>
      </c>
      <c r="AC14" s="10" t="str">
        <f t="shared" si="23"/>
        <v/>
      </c>
      <c r="AD14" s="10" t="str">
        <f t="shared" si="23"/>
        <v/>
      </c>
      <c r="AE14" s="10" t="str">
        <f t="shared" si="23"/>
        <v/>
      </c>
      <c r="AF14" s="10" t="str">
        <f t="shared" si="23"/>
        <v/>
      </c>
      <c r="AG14" s="10" t="str">
        <f t="shared" si="23"/>
        <v/>
      </c>
      <c r="AH14" s="10" t="str">
        <f t="shared" si="23"/>
        <v/>
      </c>
      <c r="AI14" s="10" t="str">
        <f t="shared" si="23"/>
        <v/>
      </c>
      <c r="AJ14" s="10" t="str">
        <f t="shared" si="23"/>
        <v/>
      </c>
      <c r="AK14" s="10" t="str">
        <f t="shared" si="23"/>
        <v/>
      </c>
      <c r="AL14" s="10" t="str">
        <f t="shared" si="23"/>
        <v/>
      </c>
      <c r="AM14" s="10" t="str">
        <f t="shared" si="23"/>
        <v/>
      </c>
      <c r="AN14" s="10" t="str">
        <f t="shared" si="23"/>
        <v/>
      </c>
      <c r="AO14" s="10" t="str">
        <f t="shared" si="23"/>
        <v/>
      </c>
      <c r="AP14" s="10" t="str">
        <f t="shared" si="23"/>
        <v/>
      </c>
      <c r="AQ14" s="10" t="str">
        <f t="shared" si="23"/>
        <v/>
      </c>
      <c r="AR14" s="10" t="str">
        <f t="shared" si="23"/>
        <v/>
      </c>
      <c r="AS14" s="10" t="str">
        <f t="shared" si="23"/>
        <v/>
      </c>
      <c r="AT14" s="10" t="str">
        <f t="shared" si="23"/>
        <v/>
      </c>
      <c r="AU14" s="10" t="str">
        <f t="shared" si="23"/>
        <v/>
      </c>
      <c r="AV14" s="10" t="str">
        <f t="shared" si="23"/>
        <v/>
      </c>
      <c r="AW14" s="10" t="str">
        <f t="shared" si="23"/>
        <v/>
      </c>
      <c r="AX14" s="10" t="str">
        <f t="shared" si="23"/>
        <v/>
      </c>
      <c r="AY14" s="10" t="str">
        <f t="shared" si="23"/>
        <v/>
      </c>
      <c r="AZ14" s="10" t="str">
        <f t="shared" si="23"/>
        <v/>
      </c>
      <c r="BA14" s="10" t="str">
        <f t="shared" si="23"/>
        <v/>
      </c>
      <c r="BB14" s="10" t="str">
        <f t="shared" si="23"/>
        <v/>
      </c>
      <c r="BC14" s="10" t="str">
        <f t="shared" si="23"/>
        <v/>
      </c>
      <c r="BD14" s="10" t="str">
        <f t="shared" si="23"/>
        <v/>
      </c>
      <c r="BE14" s="10" t="str">
        <f t="shared" si="23"/>
        <v/>
      </c>
      <c r="BF14" s="10" t="str">
        <f t="shared" si="23"/>
        <v/>
      </c>
      <c r="BG14" s="10" t="str">
        <f t="shared" si="23"/>
        <v/>
      </c>
      <c r="BH14" s="10" t="str">
        <f t="shared" si="23"/>
        <v/>
      </c>
      <c r="BI14" s="10" t="str">
        <f t="shared" si="23"/>
        <v/>
      </c>
      <c r="BJ14" s="10" t="str">
        <f t="shared" si="23"/>
        <v/>
      </c>
      <c r="BK14" s="10" t="str">
        <f t="shared" si="23"/>
        <v/>
      </c>
      <c r="BL14" s="10" t="str">
        <f t="shared" si="23"/>
        <v/>
      </c>
      <c r="BM14" s="10" t="str">
        <f t="shared" si="23"/>
        <v/>
      </c>
      <c r="BN14" s="10" t="str">
        <f t="shared" si="23"/>
        <v/>
      </c>
      <c r="BO14" s="10" t="str">
        <f t="shared" si="23"/>
        <v/>
      </c>
      <c r="BP14" s="10" t="str">
        <f t="shared" si="23"/>
        <v/>
      </c>
      <c r="BQ14" s="10" t="str">
        <f t="shared" si="23"/>
        <v/>
      </c>
      <c r="BR14" s="10" t="str">
        <f t="shared" si="23"/>
        <v/>
      </c>
      <c r="BS14" s="10" t="str">
        <f t="shared" si="23"/>
        <v/>
      </c>
      <c r="BT14" s="10" t="str">
        <f t="shared" si="23"/>
        <v/>
      </c>
      <c r="BU14" s="10" t="str">
        <f t="shared" si="23"/>
        <v/>
      </c>
      <c r="BV14" s="10" t="str">
        <f t="shared" si="23"/>
        <v/>
      </c>
      <c r="BW14" s="10" t="str">
        <f t="shared" si="23"/>
        <v/>
      </c>
      <c r="BX14" s="10" t="str">
        <f t="shared" si="23"/>
        <v/>
      </c>
      <c r="BY14" s="10" t="str">
        <f t="shared" si="23"/>
        <v/>
      </c>
      <c r="BZ14" s="10" t="str">
        <f t="shared" si="23"/>
        <v/>
      </c>
      <c r="CA14" s="10" t="str">
        <f t="shared" si="23"/>
        <v/>
      </c>
      <c r="CB14" s="10" t="str">
        <f t="shared" si="23"/>
        <v/>
      </c>
      <c r="CC14" s="10" t="str">
        <f t="shared" si="23"/>
        <v/>
      </c>
      <c r="CD14" s="10" t="str">
        <f t="shared" si="23"/>
        <v/>
      </c>
      <c r="CE14" s="10" t="str">
        <f t="shared" si="23"/>
        <v/>
      </c>
      <c r="CF14" s="10" t="str">
        <f t="shared" si="23"/>
        <v/>
      </c>
      <c r="CG14" s="10" t="str">
        <f t="shared" si="23"/>
        <v/>
      </c>
      <c r="CH14" s="10" t="str">
        <f t="shared" si="23"/>
        <v/>
      </c>
      <c r="CI14" s="10" t="str">
        <f t="shared" si="23"/>
        <v/>
      </c>
      <c r="CJ14" s="10" t="str">
        <f t="shared" si="23"/>
        <v/>
      </c>
      <c r="CK14" s="10" t="str">
        <f t="shared" si="23"/>
        <v/>
      </c>
      <c r="CL14" s="10" t="str">
        <f t="shared" si="23"/>
        <v/>
      </c>
      <c r="CM14" s="10" t="str">
        <f t="shared" si="23"/>
        <v/>
      </c>
      <c r="CN14" s="10" t="str">
        <f t="shared" si="23"/>
        <v/>
      </c>
      <c r="CO14" s="10" t="str">
        <f t="shared" si="23"/>
        <v/>
      </c>
      <c r="CP14" s="10" t="str">
        <f t="shared" si="23"/>
        <v/>
      </c>
      <c r="CQ14" s="10" t="str">
        <f t="shared" si="23"/>
        <v/>
      </c>
      <c r="CR14" s="10" t="str">
        <f t="shared" si="23"/>
        <v/>
      </c>
      <c r="CS14" s="10" t="str">
        <f t="shared" si="23"/>
        <v/>
      </c>
      <c r="CT14" s="10" t="str">
        <f t="shared" si="23"/>
        <v/>
      </c>
      <c r="CU14" s="10" t="str">
        <f t="shared" si="23"/>
        <v/>
      </c>
      <c r="CV14" s="10" t="str">
        <f t="shared" si="23"/>
        <v/>
      </c>
      <c r="CW14" s="10" t="str">
        <f t="shared" si="23"/>
        <v/>
      </c>
      <c r="CX14" s="10" t="str">
        <f t="shared" si="23"/>
        <v/>
      </c>
      <c r="CY14" s="10" t="str">
        <f t="shared" si="23"/>
        <v/>
      </c>
      <c r="CZ14" s="10" t="str">
        <f t="shared" si="23"/>
        <v/>
      </c>
      <c r="DA14" s="10" t="str">
        <f t="shared" si="23"/>
        <v/>
      </c>
      <c r="DB14" s="10" t="str">
        <f t="shared" si="23"/>
        <v/>
      </c>
      <c r="DC14" s="10" t="str">
        <f t="shared" si="23"/>
        <v/>
      </c>
      <c r="DD14" s="10" t="str">
        <f t="shared" si="23"/>
        <v/>
      </c>
      <c r="DE14" s="10" t="str">
        <f t="shared" si="23"/>
        <v/>
      </c>
      <c r="DF14" s="10" t="str">
        <f t="shared" si="23"/>
        <v/>
      </c>
      <c r="DG14" s="10" t="str">
        <f t="shared" si="23"/>
        <v/>
      </c>
      <c r="DH14" s="10" t="str">
        <f t="shared" si="23"/>
        <v/>
      </c>
      <c r="DI14" s="10" t="str">
        <f t="shared" si="23"/>
        <v/>
      </c>
      <c r="DJ14" s="10" t="str">
        <f t="shared" si="23"/>
        <v/>
      </c>
    </row>
    <row r="15" spans="1:114" ht="15.75" customHeight="1">
      <c r="A15" s="1">
        <f>Gerenciamento!D15</f>
        <v>0</v>
      </c>
      <c r="B15" s="1" t="e">
        <f t="shared" si="2"/>
        <v>#VALUE!</v>
      </c>
      <c r="C15" s="2" t="e">
        <f t="shared" si="6"/>
        <v>#VALUE!</v>
      </c>
      <c r="D15" s="2" t="e">
        <f t="shared" si="7"/>
        <v>#VALUE!</v>
      </c>
      <c r="E15" s="2" t="e">
        <f t="shared" si="8"/>
        <v>#VALUE!</v>
      </c>
      <c r="F15" s="2" t="e">
        <f t="shared" si="9"/>
        <v>#VALUE!</v>
      </c>
      <c r="G15" s="5" t="e">
        <f t="shared" si="15"/>
        <v>#VALUE!</v>
      </c>
      <c r="H15" s="1" t="e">
        <f t="shared" si="10"/>
        <v>#VALUE!</v>
      </c>
      <c r="I15" s="1" t="e">
        <f t="shared" si="12"/>
        <v>#VALUE!</v>
      </c>
      <c r="J15" s="6" t="e">
        <f t="shared" si="3"/>
        <v>#VALUE!</v>
      </c>
      <c r="M15" s="9" t="b">
        <f t="shared" si="4"/>
        <v>0</v>
      </c>
      <c r="N15" s="10" t="e">
        <f t="shared" ref="N15:DJ15" si="24">IF(N$1&gt;$L$2,"",IF(N$1=$L$2,1,IF($L$2-N$1=$L$1-$M15,$L$3^($L$1-$M15),($L$3*N16*O16/(N16+($L$3-1)*O16)))))</f>
        <v>#DIV/0!</v>
      </c>
      <c r="O15" s="10" t="e">
        <f t="shared" si="24"/>
        <v>#DIV/0!</v>
      </c>
      <c r="P15" s="10">
        <f t="shared" si="24"/>
        <v>1</v>
      </c>
      <c r="Q15" s="10" t="str">
        <f t="shared" si="24"/>
        <v/>
      </c>
      <c r="R15" s="10" t="str">
        <f t="shared" si="24"/>
        <v/>
      </c>
      <c r="S15" s="10" t="str">
        <f t="shared" si="24"/>
        <v/>
      </c>
      <c r="T15" s="10" t="str">
        <f t="shared" si="24"/>
        <v/>
      </c>
      <c r="U15" s="10" t="str">
        <f t="shared" si="24"/>
        <v/>
      </c>
      <c r="V15" s="10" t="str">
        <f t="shared" si="24"/>
        <v/>
      </c>
      <c r="W15" s="10" t="str">
        <f t="shared" si="24"/>
        <v/>
      </c>
      <c r="X15" s="10" t="str">
        <f t="shared" si="24"/>
        <v/>
      </c>
      <c r="Y15" s="10" t="str">
        <f t="shared" si="24"/>
        <v/>
      </c>
      <c r="Z15" s="10" t="str">
        <f t="shared" si="24"/>
        <v/>
      </c>
      <c r="AA15" s="10" t="str">
        <f t="shared" si="24"/>
        <v/>
      </c>
      <c r="AB15" s="10" t="str">
        <f t="shared" si="24"/>
        <v/>
      </c>
      <c r="AC15" s="10" t="str">
        <f t="shared" si="24"/>
        <v/>
      </c>
      <c r="AD15" s="10" t="str">
        <f t="shared" si="24"/>
        <v/>
      </c>
      <c r="AE15" s="10" t="str">
        <f t="shared" si="24"/>
        <v/>
      </c>
      <c r="AF15" s="10" t="str">
        <f t="shared" si="24"/>
        <v/>
      </c>
      <c r="AG15" s="10" t="str">
        <f t="shared" si="24"/>
        <v/>
      </c>
      <c r="AH15" s="10" t="str">
        <f t="shared" si="24"/>
        <v/>
      </c>
      <c r="AI15" s="10" t="str">
        <f t="shared" si="24"/>
        <v/>
      </c>
      <c r="AJ15" s="10" t="str">
        <f t="shared" si="24"/>
        <v/>
      </c>
      <c r="AK15" s="10" t="str">
        <f t="shared" si="24"/>
        <v/>
      </c>
      <c r="AL15" s="10" t="str">
        <f t="shared" si="24"/>
        <v/>
      </c>
      <c r="AM15" s="10" t="str">
        <f t="shared" si="24"/>
        <v/>
      </c>
      <c r="AN15" s="10" t="str">
        <f t="shared" si="24"/>
        <v/>
      </c>
      <c r="AO15" s="10" t="str">
        <f t="shared" si="24"/>
        <v/>
      </c>
      <c r="AP15" s="10" t="str">
        <f t="shared" si="24"/>
        <v/>
      </c>
      <c r="AQ15" s="10" t="str">
        <f t="shared" si="24"/>
        <v/>
      </c>
      <c r="AR15" s="10" t="str">
        <f t="shared" si="24"/>
        <v/>
      </c>
      <c r="AS15" s="10" t="str">
        <f t="shared" si="24"/>
        <v/>
      </c>
      <c r="AT15" s="10" t="str">
        <f t="shared" si="24"/>
        <v/>
      </c>
      <c r="AU15" s="10" t="str">
        <f t="shared" si="24"/>
        <v/>
      </c>
      <c r="AV15" s="10" t="str">
        <f t="shared" si="24"/>
        <v/>
      </c>
      <c r="AW15" s="10" t="str">
        <f t="shared" si="24"/>
        <v/>
      </c>
      <c r="AX15" s="10" t="str">
        <f t="shared" si="24"/>
        <v/>
      </c>
      <c r="AY15" s="10" t="str">
        <f t="shared" si="24"/>
        <v/>
      </c>
      <c r="AZ15" s="10" t="str">
        <f t="shared" si="24"/>
        <v/>
      </c>
      <c r="BA15" s="10" t="str">
        <f t="shared" si="24"/>
        <v/>
      </c>
      <c r="BB15" s="10" t="str">
        <f t="shared" si="24"/>
        <v/>
      </c>
      <c r="BC15" s="10" t="str">
        <f t="shared" si="24"/>
        <v/>
      </c>
      <c r="BD15" s="10" t="str">
        <f t="shared" si="24"/>
        <v/>
      </c>
      <c r="BE15" s="10" t="str">
        <f t="shared" si="24"/>
        <v/>
      </c>
      <c r="BF15" s="10" t="str">
        <f t="shared" si="24"/>
        <v/>
      </c>
      <c r="BG15" s="10" t="str">
        <f t="shared" si="24"/>
        <v/>
      </c>
      <c r="BH15" s="10" t="str">
        <f t="shared" si="24"/>
        <v/>
      </c>
      <c r="BI15" s="10" t="str">
        <f t="shared" si="24"/>
        <v/>
      </c>
      <c r="BJ15" s="10" t="str">
        <f t="shared" si="24"/>
        <v/>
      </c>
      <c r="BK15" s="10" t="str">
        <f t="shared" si="24"/>
        <v/>
      </c>
      <c r="BL15" s="10" t="str">
        <f t="shared" si="24"/>
        <v/>
      </c>
      <c r="BM15" s="10" t="str">
        <f t="shared" si="24"/>
        <v/>
      </c>
      <c r="BN15" s="10" t="str">
        <f t="shared" si="24"/>
        <v/>
      </c>
      <c r="BO15" s="10" t="str">
        <f t="shared" si="24"/>
        <v/>
      </c>
      <c r="BP15" s="10" t="str">
        <f t="shared" si="24"/>
        <v/>
      </c>
      <c r="BQ15" s="10" t="str">
        <f t="shared" si="24"/>
        <v/>
      </c>
      <c r="BR15" s="10" t="str">
        <f t="shared" si="24"/>
        <v/>
      </c>
      <c r="BS15" s="10" t="str">
        <f t="shared" si="24"/>
        <v/>
      </c>
      <c r="BT15" s="10" t="str">
        <f t="shared" si="24"/>
        <v/>
      </c>
      <c r="BU15" s="10" t="str">
        <f t="shared" si="24"/>
        <v/>
      </c>
      <c r="BV15" s="10" t="str">
        <f t="shared" si="24"/>
        <v/>
      </c>
      <c r="BW15" s="10" t="str">
        <f t="shared" si="24"/>
        <v/>
      </c>
      <c r="BX15" s="10" t="str">
        <f t="shared" si="24"/>
        <v/>
      </c>
      <c r="BY15" s="10" t="str">
        <f t="shared" si="24"/>
        <v/>
      </c>
      <c r="BZ15" s="10" t="str">
        <f t="shared" si="24"/>
        <v/>
      </c>
      <c r="CA15" s="10" t="str">
        <f t="shared" si="24"/>
        <v/>
      </c>
      <c r="CB15" s="10" t="str">
        <f t="shared" si="24"/>
        <v/>
      </c>
      <c r="CC15" s="10" t="str">
        <f t="shared" si="24"/>
        <v/>
      </c>
      <c r="CD15" s="10" t="str">
        <f t="shared" si="24"/>
        <v/>
      </c>
      <c r="CE15" s="10" t="str">
        <f t="shared" si="24"/>
        <v/>
      </c>
      <c r="CF15" s="10" t="str">
        <f t="shared" si="24"/>
        <v/>
      </c>
      <c r="CG15" s="10" t="str">
        <f t="shared" si="24"/>
        <v/>
      </c>
      <c r="CH15" s="10" t="str">
        <f t="shared" si="24"/>
        <v/>
      </c>
      <c r="CI15" s="10" t="str">
        <f t="shared" si="24"/>
        <v/>
      </c>
      <c r="CJ15" s="10" t="str">
        <f t="shared" si="24"/>
        <v/>
      </c>
      <c r="CK15" s="10" t="str">
        <f t="shared" si="24"/>
        <v/>
      </c>
      <c r="CL15" s="10" t="str">
        <f t="shared" si="24"/>
        <v/>
      </c>
      <c r="CM15" s="10" t="str">
        <f t="shared" si="24"/>
        <v/>
      </c>
      <c r="CN15" s="10" t="str">
        <f t="shared" si="24"/>
        <v/>
      </c>
      <c r="CO15" s="10" t="str">
        <f t="shared" si="24"/>
        <v/>
      </c>
      <c r="CP15" s="10" t="str">
        <f t="shared" si="24"/>
        <v/>
      </c>
      <c r="CQ15" s="10" t="str">
        <f t="shared" si="24"/>
        <v/>
      </c>
      <c r="CR15" s="10" t="str">
        <f t="shared" si="24"/>
        <v/>
      </c>
      <c r="CS15" s="10" t="str">
        <f t="shared" si="24"/>
        <v/>
      </c>
      <c r="CT15" s="10" t="str">
        <f t="shared" si="24"/>
        <v/>
      </c>
      <c r="CU15" s="10" t="str">
        <f t="shared" si="24"/>
        <v/>
      </c>
      <c r="CV15" s="10" t="str">
        <f t="shared" si="24"/>
        <v/>
      </c>
      <c r="CW15" s="10" t="str">
        <f t="shared" si="24"/>
        <v/>
      </c>
      <c r="CX15" s="10" t="str">
        <f t="shared" si="24"/>
        <v/>
      </c>
      <c r="CY15" s="10" t="str">
        <f t="shared" si="24"/>
        <v/>
      </c>
      <c r="CZ15" s="10" t="str">
        <f t="shared" si="24"/>
        <v/>
      </c>
      <c r="DA15" s="10" t="str">
        <f t="shared" si="24"/>
        <v/>
      </c>
      <c r="DB15" s="10" t="str">
        <f t="shared" si="24"/>
        <v/>
      </c>
      <c r="DC15" s="10" t="str">
        <f t="shared" si="24"/>
        <v/>
      </c>
      <c r="DD15" s="10" t="str">
        <f t="shared" si="24"/>
        <v/>
      </c>
      <c r="DE15" s="10" t="str">
        <f t="shared" si="24"/>
        <v/>
      </c>
      <c r="DF15" s="10" t="str">
        <f t="shared" si="24"/>
        <v/>
      </c>
      <c r="DG15" s="10" t="str">
        <f t="shared" si="24"/>
        <v/>
      </c>
      <c r="DH15" s="10" t="str">
        <f t="shared" si="24"/>
        <v/>
      </c>
      <c r="DI15" s="10" t="str">
        <f t="shared" si="24"/>
        <v/>
      </c>
      <c r="DJ15" s="10" t="str">
        <f t="shared" si="24"/>
        <v/>
      </c>
    </row>
    <row r="16" spans="1:114" ht="15.75" customHeight="1">
      <c r="A16" s="1">
        <f>Gerenciamento!D16</f>
        <v>0</v>
      </c>
      <c r="B16" s="1" t="e">
        <f t="shared" si="2"/>
        <v>#VALUE!</v>
      </c>
      <c r="C16" s="2" t="e">
        <f t="shared" si="6"/>
        <v>#VALUE!</v>
      </c>
      <c r="D16" s="2" t="e">
        <f t="shared" si="7"/>
        <v>#VALUE!</v>
      </c>
      <c r="E16" s="2" t="e">
        <f t="shared" si="8"/>
        <v>#VALUE!</v>
      </c>
      <c r="F16" s="2" t="e">
        <f t="shared" si="9"/>
        <v>#VALUE!</v>
      </c>
      <c r="G16" s="5" t="e">
        <f t="shared" si="15"/>
        <v>#VALUE!</v>
      </c>
      <c r="H16" s="1" t="e">
        <f t="shared" si="10"/>
        <v>#VALUE!</v>
      </c>
      <c r="I16" s="1" t="e">
        <f t="shared" si="12"/>
        <v>#VALUE!</v>
      </c>
      <c r="J16" s="6" t="e">
        <f t="shared" si="3"/>
        <v>#VALUE!</v>
      </c>
      <c r="M16" s="9" t="b">
        <f t="shared" si="4"/>
        <v>0</v>
      </c>
      <c r="N16" s="10" t="e">
        <f t="shared" ref="N16:DJ16" si="25">IF(N$1&gt;$L$2,"",IF(N$1=$L$2,1,IF($L$2-N$1=$L$1-$M16,$L$3^($L$1-$M16),($L$3*N17*O17/(N17+($L$3-1)*O17)))))</f>
        <v>#DIV/0!</v>
      </c>
      <c r="O16" s="10" t="e">
        <f t="shared" si="25"/>
        <v>#DIV/0!</v>
      </c>
      <c r="P16" s="10">
        <f t="shared" si="25"/>
        <v>1</v>
      </c>
      <c r="Q16" s="10" t="str">
        <f t="shared" si="25"/>
        <v/>
      </c>
      <c r="R16" s="10" t="str">
        <f t="shared" si="25"/>
        <v/>
      </c>
      <c r="S16" s="10" t="str">
        <f t="shared" si="25"/>
        <v/>
      </c>
      <c r="T16" s="10" t="str">
        <f t="shared" si="25"/>
        <v/>
      </c>
      <c r="U16" s="10" t="str">
        <f t="shared" si="25"/>
        <v/>
      </c>
      <c r="V16" s="10" t="str">
        <f t="shared" si="25"/>
        <v/>
      </c>
      <c r="W16" s="10" t="str">
        <f t="shared" si="25"/>
        <v/>
      </c>
      <c r="X16" s="10" t="str">
        <f t="shared" si="25"/>
        <v/>
      </c>
      <c r="Y16" s="10" t="str">
        <f t="shared" si="25"/>
        <v/>
      </c>
      <c r="Z16" s="10" t="str">
        <f t="shared" si="25"/>
        <v/>
      </c>
      <c r="AA16" s="10" t="str">
        <f t="shared" si="25"/>
        <v/>
      </c>
      <c r="AB16" s="10" t="str">
        <f t="shared" si="25"/>
        <v/>
      </c>
      <c r="AC16" s="10" t="str">
        <f t="shared" si="25"/>
        <v/>
      </c>
      <c r="AD16" s="10" t="str">
        <f t="shared" si="25"/>
        <v/>
      </c>
      <c r="AE16" s="10" t="str">
        <f t="shared" si="25"/>
        <v/>
      </c>
      <c r="AF16" s="10" t="str">
        <f t="shared" si="25"/>
        <v/>
      </c>
      <c r="AG16" s="10" t="str">
        <f t="shared" si="25"/>
        <v/>
      </c>
      <c r="AH16" s="10" t="str">
        <f t="shared" si="25"/>
        <v/>
      </c>
      <c r="AI16" s="10" t="str">
        <f t="shared" si="25"/>
        <v/>
      </c>
      <c r="AJ16" s="10" t="str">
        <f t="shared" si="25"/>
        <v/>
      </c>
      <c r="AK16" s="10" t="str">
        <f t="shared" si="25"/>
        <v/>
      </c>
      <c r="AL16" s="10" t="str">
        <f t="shared" si="25"/>
        <v/>
      </c>
      <c r="AM16" s="10" t="str">
        <f t="shared" si="25"/>
        <v/>
      </c>
      <c r="AN16" s="10" t="str">
        <f t="shared" si="25"/>
        <v/>
      </c>
      <c r="AO16" s="10" t="str">
        <f t="shared" si="25"/>
        <v/>
      </c>
      <c r="AP16" s="10" t="str">
        <f t="shared" si="25"/>
        <v/>
      </c>
      <c r="AQ16" s="10" t="str">
        <f t="shared" si="25"/>
        <v/>
      </c>
      <c r="AR16" s="10" t="str">
        <f t="shared" si="25"/>
        <v/>
      </c>
      <c r="AS16" s="10" t="str">
        <f t="shared" si="25"/>
        <v/>
      </c>
      <c r="AT16" s="10" t="str">
        <f t="shared" si="25"/>
        <v/>
      </c>
      <c r="AU16" s="10" t="str">
        <f t="shared" si="25"/>
        <v/>
      </c>
      <c r="AV16" s="10" t="str">
        <f t="shared" si="25"/>
        <v/>
      </c>
      <c r="AW16" s="10" t="str">
        <f t="shared" si="25"/>
        <v/>
      </c>
      <c r="AX16" s="10" t="str">
        <f t="shared" si="25"/>
        <v/>
      </c>
      <c r="AY16" s="10" t="str">
        <f t="shared" si="25"/>
        <v/>
      </c>
      <c r="AZ16" s="10" t="str">
        <f t="shared" si="25"/>
        <v/>
      </c>
      <c r="BA16" s="10" t="str">
        <f t="shared" si="25"/>
        <v/>
      </c>
      <c r="BB16" s="10" t="str">
        <f t="shared" si="25"/>
        <v/>
      </c>
      <c r="BC16" s="10" t="str">
        <f t="shared" si="25"/>
        <v/>
      </c>
      <c r="BD16" s="10" t="str">
        <f t="shared" si="25"/>
        <v/>
      </c>
      <c r="BE16" s="10" t="str">
        <f t="shared" si="25"/>
        <v/>
      </c>
      <c r="BF16" s="10" t="str">
        <f t="shared" si="25"/>
        <v/>
      </c>
      <c r="BG16" s="10" t="str">
        <f t="shared" si="25"/>
        <v/>
      </c>
      <c r="BH16" s="10" t="str">
        <f t="shared" si="25"/>
        <v/>
      </c>
      <c r="BI16" s="10" t="str">
        <f t="shared" si="25"/>
        <v/>
      </c>
      <c r="BJ16" s="10" t="str">
        <f t="shared" si="25"/>
        <v/>
      </c>
      <c r="BK16" s="10" t="str">
        <f t="shared" si="25"/>
        <v/>
      </c>
      <c r="BL16" s="10" t="str">
        <f t="shared" si="25"/>
        <v/>
      </c>
      <c r="BM16" s="10" t="str">
        <f t="shared" si="25"/>
        <v/>
      </c>
      <c r="BN16" s="10" t="str">
        <f t="shared" si="25"/>
        <v/>
      </c>
      <c r="BO16" s="10" t="str">
        <f t="shared" si="25"/>
        <v/>
      </c>
      <c r="BP16" s="10" t="str">
        <f t="shared" si="25"/>
        <v/>
      </c>
      <c r="BQ16" s="10" t="str">
        <f t="shared" si="25"/>
        <v/>
      </c>
      <c r="BR16" s="10" t="str">
        <f t="shared" si="25"/>
        <v/>
      </c>
      <c r="BS16" s="10" t="str">
        <f t="shared" si="25"/>
        <v/>
      </c>
      <c r="BT16" s="10" t="str">
        <f t="shared" si="25"/>
        <v/>
      </c>
      <c r="BU16" s="10" t="str">
        <f t="shared" si="25"/>
        <v/>
      </c>
      <c r="BV16" s="10" t="str">
        <f t="shared" si="25"/>
        <v/>
      </c>
      <c r="BW16" s="10" t="str">
        <f t="shared" si="25"/>
        <v/>
      </c>
      <c r="BX16" s="10" t="str">
        <f t="shared" si="25"/>
        <v/>
      </c>
      <c r="BY16" s="10" t="str">
        <f t="shared" si="25"/>
        <v/>
      </c>
      <c r="BZ16" s="10" t="str">
        <f t="shared" si="25"/>
        <v/>
      </c>
      <c r="CA16" s="10" t="str">
        <f t="shared" si="25"/>
        <v/>
      </c>
      <c r="CB16" s="10" t="str">
        <f t="shared" si="25"/>
        <v/>
      </c>
      <c r="CC16" s="10" t="str">
        <f t="shared" si="25"/>
        <v/>
      </c>
      <c r="CD16" s="10" t="str">
        <f t="shared" si="25"/>
        <v/>
      </c>
      <c r="CE16" s="10" t="str">
        <f t="shared" si="25"/>
        <v/>
      </c>
      <c r="CF16" s="10" t="str">
        <f t="shared" si="25"/>
        <v/>
      </c>
      <c r="CG16" s="10" t="str">
        <f t="shared" si="25"/>
        <v/>
      </c>
      <c r="CH16" s="10" t="str">
        <f t="shared" si="25"/>
        <v/>
      </c>
      <c r="CI16" s="10" t="str">
        <f t="shared" si="25"/>
        <v/>
      </c>
      <c r="CJ16" s="10" t="str">
        <f t="shared" si="25"/>
        <v/>
      </c>
      <c r="CK16" s="10" t="str">
        <f t="shared" si="25"/>
        <v/>
      </c>
      <c r="CL16" s="10" t="str">
        <f t="shared" si="25"/>
        <v/>
      </c>
      <c r="CM16" s="10" t="str">
        <f t="shared" si="25"/>
        <v/>
      </c>
      <c r="CN16" s="10" t="str">
        <f t="shared" si="25"/>
        <v/>
      </c>
      <c r="CO16" s="10" t="str">
        <f t="shared" si="25"/>
        <v/>
      </c>
      <c r="CP16" s="10" t="str">
        <f t="shared" si="25"/>
        <v/>
      </c>
      <c r="CQ16" s="10" t="str">
        <f t="shared" si="25"/>
        <v/>
      </c>
      <c r="CR16" s="10" t="str">
        <f t="shared" si="25"/>
        <v/>
      </c>
      <c r="CS16" s="10" t="str">
        <f t="shared" si="25"/>
        <v/>
      </c>
      <c r="CT16" s="10" t="str">
        <f t="shared" si="25"/>
        <v/>
      </c>
      <c r="CU16" s="10" t="str">
        <f t="shared" si="25"/>
        <v/>
      </c>
      <c r="CV16" s="10" t="str">
        <f t="shared" si="25"/>
        <v/>
      </c>
      <c r="CW16" s="10" t="str">
        <f t="shared" si="25"/>
        <v/>
      </c>
      <c r="CX16" s="10" t="str">
        <f t="shared" si="25"/>
        <v/>
      </c>
      <c r="CY16" s="10" t="str">
        <f t="shared" si="25"/>
        <v/>
      </c>
      <c r="CZ16" s="10" t="str">
        <f t="shared" si="25"/>
        <v/>
      </c>
      <c r="DA16" s="10" t="str">
        <f t="shared" si="25"/>
        <v/>
      </c>
      <c r="DB16" s="10" t="str">
        <f t="shared" si="25"/>
        <v/>
      </c>
      <c r="DC16" s="10" t="str">
        <f t="shared" si="25"/>
        <v/>
      </c>
      <c r="DD16" s="10" t="str">
        <f t="shared" si="25"/>
        <v/>
      </c>
      <c r="DE16" s="10" t="str">
        <f t="shared" si="25"/>
        <v/>
      </c>
      <c r="DF16" s="10" t="str">
        <f t="shared" si="25"/>
        <v/>
      </c>
      <c r="DG16" s="10" t="str">
        <f t="shared" si="25"/>
        <v/>
      </c>
      <c r="DH16" s="10" t="str">
        <f t="shared" si="25"/>
        <v/>
      </c>
      <c r="DI16" s="10" t="str">
        <f t="shared" si="25"/>
        <v/>
      </c>
      <c r="DJ16" s="10" t="str">
        <f t="shared" si="25"/>
        <v/>
      </c>
    </row>
    <row r="17" spans="1:114" ht="15.75" customHeight="1">
      <c r="A17" s="1">
        <f>Gerenciamento!D17</f>
        <v>0</v>
      </c>
      <c r="B17" s="1" t="e">
        <f t="shared" si="2"/>
        <v>#VALUE!</v>
      </c>
      <c r="C17" s="2" t="e">
        <f t="shared" si="6"/>
        <v>#VALUE!</v>
      </c>
      <c r="D17" s="2" t="e">
        <f t="shared" si="7"/>
        <v>#VALUE!</v>
      </c>
      <c r="E17" s="2" t="e">
        <f t="shared" si="8"/>
        <v>#VALUE!</v>
      </c>
      <c r="F17" s="2" t="e">
        <f t="shared" si="9"/>
        <v>#VALUE!</v>
      </c>
      <c r="G17" s="5" t="e">
        <f t="shared" si="15"/>
        <v>#VALUE!</v>
      </c>
      <c r="H17" s="1" t="e">
        <f t="shared" si="10"/>
        <v>#VALUE!</v>
      </c>
      <c r="I17" s="1" t="e">
        <f t="shared" si="12"/>
        <v>#VALUE!</v>
      </c>
      <c r="J17" s="6" t="e">
        <f t="shared" si="3"/>
        <v>#VALUE!</v>
      </c>
      <c r="M17" s="9" t="b">
        <f t="shared" si="4"/>
        <v>0</v>
      </c>
      <c r="N17" s="10" t="e">
        <f t="shared" ref="N17:DJ17" si="26">IF(N$1&gt;$L$2,"",IF(N$1=$L$2,1,IF($L$2-N$1=$L$1-$M17,$L$3^($L$1-$M17),($L$3*N18*O18/(N18+($L$3-1)*O18)))))</f>
        <v>#DIV/0!</v>
      </c>
      <c r="O17" s="10" t="e">
        <f t="shared" si="26"/>
        <v>#DIV/0!</v>
      </c>
      <c r="P17" s="10">
        <f t="shared" si="26"/>
        <v>1</v>
      </c>
      <c r="Q17" s="10" t="str">
        <f t="shared" si="26"/>
        <v/>
      </c>
      <c r="R17" s="10" t="str">
        <f t="shared" si="26"/>
        <v/>
      </c>
      <c r="S17" s="10" t="str">
        <f t="shared" si="26"/>
        <v/>
      </c>
      <c r="T17" s="10" t="str">
        <f t="shared" si="26"/>
        <v/>
      </c>
      <c r="U17" s="10" t="str">
        <f t="shared" si="26"/>
        <v/>
      </c>
      <c r="V17" s="10" t="str">
        <f t="shared" si="26"/>
        <v/>
      </c>
      <c r="W17" s="10" t="str">
        <f t="shared" si="26"/>
        <v/>
      </c>
      <c r="X17" s="10" t="str">
        <f t="shared" si="26"/>
        <v/>
      </c>
      <c r="Y17" s="10" t="str">
        <f t="shared" si="26"/>
        <v/>
      </c>
      <c r="Z17" s="10" t="str">
        <f t="shared" si="26"/>
        <v/>
      </c>
      <c r="AA17" s="10" t="str">
        <f t="shared" si="26"/>
        <v/>
      </c>
      <c r="AB17" s="10" t="str">
        <f t="shared" si="26"/>
        <v/>
      </c>
      <c r="AC17" s="10" t="str">
        <f t="shared" si="26"/>
        <v/>
      </c>
      <c r="AD17" s="10" t="str">
        <f t="shared" si="26"/>
        <v/>
      </c>
      <c r="AE17" s="10" t="str">
        <f t="shared" si="26"/>
        <v/>
      </c>
      <c r="AF17" s="10" t="str">
        <f t="shared" si="26"/>
        <v/>
      </c>
      <c r="AG17" s="10" t="str">
        <f t="shared" si="26"/>
        <v/>
      </c>
      <c r="AH17" s="10" t="str">
        <f t="shared" si="26"/>
        <v/>
      </c>
      <c r="AI17" s="10" t="str">
        <f t="shared" si="26"/>
        <v/>
      </c>
      <c r="AJ17" s="10" t="str">
        <f t="shared" si="26"/>
        <v/>
      </c>
      <c r="AK17" s="10" t="str">
        <f t="shared" si="26"/>
        <v/>
      </c>
      <c r="AL17" s="10" t="str">
        <f t="shared" si="26"/>
        <v/>
      </c>
      <c r="AM17" s="10" t="str">
        <f t="shared" si="26"/>
        <v/>
      </c>
      <c r="AN17" s="10" t="str">
        <f t="shared" si="26"/>
        <v/>
      </c>
      <c r="AO17" s="10" t="str">
        <f t="shared" si="26"/>
        <v/>
      </c>
      <c r="AP17" s="10" t="str">
        <f t="shared" si="26"/>
        <v/>
      </c>
      <c r="AQ17" s="10" t="str">
        <f t="shared" si="26"/>
        <v/>
      </c>
      <c r="AR17" s="10" t="str">
        <f t="shared" si="26"/>
        <v/>
      </c>
      <c r="AS17" s="10" t="str">
        <f t="shared" si="26"/>
        <v/>
      </c>
      <c r="AT17" s="10" t="str">
        <f t="shared" si="26"/>
        <v/>
      </c>
      <c r="AU17" s="10" t="str">
        <f t="shared" si="26"/>
        <v/>
      </c>
      <c r="AV17" s="10" t="str">
        <f t="shared" si="26"/>
        <v/>
      </c>
      <c r="AW17" s="10" t="str">
        <f t="shared" si="26"/>
        <v/>
      </c>
      <c r="AX17" s="10" t="str">
        <f t="shared" si="26"/>
        <v/>
      </c>
      <c r="AY17" s="10" t="str">
        <f t="shared" si="26"/>
        <v/>
      </c>
      <c r="AZ17" s="10" t="str">
        <f t="shared" si="26"/>
        <v/>
      </c>
      <c r="BA17" s="10" t="str">
        <f t="shared" si="26"/>
        <v/>
      </c>
      <c r="BB17" s="10" t="str">
        <f t="shared" si="26"/>
        <v/>
      </c>
      <c r="BC17" s="10" t="str">
        <f t="shared" si="26"/>
        <v/>
      </c>
      <c r="BD17" s="10" t="str">
        <f t="shared" si="26"/>
        <v/>
      </c>
      <c r="BE17" s="10" t="str">
        <f t="shared" si="26"/>
        <v/>
      </c>
      <c r="BF17" s="10" t="str">
        <f t="shared" si="26"/>
        <v/>
      </c>
      <c r="BG17" s="10" t="str">
        <f t="shared" si="26"/>
        <v/>
      </c>
      <c r="BH17" s="10" t="str">
        <f t="shared" si="26"/>
        <v/>
      </c>
      <c r="BI17" s="10" t="str">
        <f t="shared" si="26"/>
        <v/>
      </c>
      <c r="BJ17" s="10" t="str">
        <f t="shared" si="26"/>
        <v/>
      </c>
      <c r="BK17" s="10" t="str">
        <f t="shared" si="26"/>
        <v/>
      </c>
      <c r="BL17" s="10" t="str">
        <f t="shared" si="26"/>
        <v/>
      </c>
      <c r="BM17" s="10" t="str">
        <f t="shared" si="26"/>
        <v/>
      </c>
      <c r="BN17" s="10" t="str">
        <f t="shared" si="26"/>
        <v/>
      </c>
      <c r="BO17" s="10" t="str">
        <f t="shared" si="26"/>
        <v/>
      </c>
      <c r="BP17" s="10" t="str">
        <f t="shared" si="26"/>
        <v/>
      </c>
      <c r="BQ17" s="10" t="str">
        <f t="shared" si="26"/>
        <v/>
      </c>
      <c r="BR17" s="10" t="str">
        <f t="shared" si="26"/>
        <v/>
      </c>
      <c r="BS17" s="10" t="str">
        <f t="shared" si="26"/>
        <v/>
      </c>
      <c r="BT17" s="10" t="str">
        <f t="shared" si="26"/>
        <v/>
      </c>
      <c r="BU17" s="10" t="str">
        <f t="shared" si="26"/>
        <v/>
      </c>
      <c r="BV17" s="10" t="str">
        <f t="shared" si="26"/>
        <v/>
      </c>
      <c r="BW17" s="10" t="str">
        <f t="shared" si="26"/>
        <v/>
      </c>
      <c r="BX17" s="10" t="str">
        <f t="shared" si="26"/>
        <v/>
      </c>
      <c r="BY17" s="10" t="str">
        <f t="shared" si="26"/>
        <v/>
      </c>
      <c r="BZ17" s="10" t="str">
        <f t="shared" si="26"/>
        <v/>
      </c>
      <c r="CA17" s="10" t="str">
        <f t="shared" si="26"/>
        <v/>
      </c>
      <c r="CB17" s="10" t="str">
        <f t="shared" si="26"/>
        <v/>
      </c>
      <c r="CC17" s="10" t="str">
        <f t="shared" si="26"/>
        <v/>
      </c>
      <c r="CD17" s="10" t="str">
        <f t="shared" si="26"/>
        <v/>
      </c>
      <c r="CE17" s="10" t="str">
        <f t="shared" si="26"/>
        <v/>
      </c>
      <c r="CF17" s="10" t="str">
        <f t="shared" si="26"/>
        <v/>
      </c>
      <c r="CG17" s="10" t="str">
        <f t="shared" si="26"/>
        <v/>
      </c>
      <c r="CH17" s="10" t="str">
        <f t="shared" si="26"/>
        <v/>
      </c>
      <c r="CI17" s="10" t="str">
        <f t="shared" si="26"/>
        <v/>
      </c>
      <c r="CJ17" s="10" t="str">
        <f t="shared" si="26"/>
        <v/>
      </c>
      <c r="CK17" s="10" t="str">
        <f t="shared" si="26"/>
        <v/>
      </c>
      <c r="CL17" s="10" t="str">
        <f t="shared" si="26"/>
        <v/>
      </c>
      <c r="CM17" s="10" t="str">
        <f t="shared" si="26"/>
        <v/>
      </c>
      <c r="CN17" s="10" t="str">
        <f t="shared" si="26"/>
        <v/>
      </c>
      <c r="CO17" s="10" t="str">
        <f t="shared" si="26"/>
        <v/>
      </c>
      <c r="CP17" s="10" t="str">
        <f t="shared" si="26"/>
        <v/>
      </c>
      <c r="CQ17" s="10" t="str">
        <f t="shared" si="26"/>
        <v/>
      </c>
      <c r="CR17" s="10" t="str">
        <f t="shared" si="26"/>
        <v/>
      </c>
      <c r="CS17" s="10" t="str">
        <f t="shared" si="26"/>
        <v/>
      </c>
      <c r="CT17" s="10" t="str">
        <f t="shared" si="26"/>
        <v/>
      </c>
      <c r="CU17" s="10" t="str">
        <f t="shared" si="26"/>
        <v/>
      </c>
      <c r="CV17" s="10" t="str">
        <f t="shared" si="26"/>
        <v/>
      </c>
      <c r="CW17" s="10" t="str">
        <f t="shared" si="26"/>
        <v/>
      </c>
      <c r="CX17" s="10" t="str">
        <f t="shared" si="26"/>
        <v/>
      </c>
      <c r="CY17" s="10" t="str">
        <f t="shared" si="26"/>
        <v/>
      </c>
      <c r="CZ17" s="10" t="str">
        <f t="shared" si="26"/>
        <v/>
      </c>
      <c r="DA17" s="10" t="str">
        <f t="shared" si="26"/>
        <v/>
      </c>
      <c r="DB17" s="10" t="str">
        <f t="shared" si="26"/>
        <v/>
      </c>
      <c r="DC17" s="10" t="str">
        <f t="shared" si="26"/>
        <v/>
      </c>
      <c r="DD17" s="10" t="str">
        <f t="shared" si="26"/>
        <v/>
      </c>
      <c r="DE17" s="10" t="str">
        <f t="shared" si="26"/>
        <v/>
      </c>
      <c r="DF17" s="10" t="str">
        <f t="shared" si="26"/>
        <v/>
      </c>
      <c r="DG17" s="10" t="str">
        <f t="shared" si="26"/>
        <v/>
      </c>
      <c r="DH17" s="10" t="str">
        <f t="shared" si="26"/>
        <v/>
      </c>
      <c r="DI17" s="10" t="str">
        <f t="shared" si="26"/>
        <v/>
      </c>
      <c r="DJ17" s="10" t="str">
        <f t="shared" si="26"/>
        <v/>
      </c>
    </row>
    <row r="18" spans="1:114" ht="15.75" customHeight="1">
      <c r="A18" s="1">
        <f>Gerenciamento!D18</f>
        <v>0</v>
      </c>
      <c r="B18" s="1" t="e">
        <f t="shared" si="2"/>
        <v>#VALUE!</v>
      </c>
      <c r="C18" s="2" t="e">
        <f t="shared" si="6"/>
        <v>#VALUE!</v>
      </c>
      <c r="D18" s="2" t="e">
        <f t="shared" si="7"/>
        <v>#VALUE!</v>
      </c>
      <c r="E18" s="2" t="e">
        <f t="shared" si="8"/>
        <v>#VALUE!</v>
      </c>
      <c r="F18" s="2" t="e">
        <f t="shared" si="9"/>
        <v>#VALUE!</v>
      </c>
      <c r="G18" s="5" t="e">
        <f t="shared" si="15"/>
        <v>#VALUE!</v>
      </c>
      <c r="H18" s="1" t="e">
        <f t="shared" si="10"/>
        <v>#VALUE!</v>
      </c>
      <c r="I18" s="1" t="e">
        <f t="shared" si="12"/>
        <v>#VALUE!</v>
      </c>
      <c r="J18" s="6" t="e">
        <f t="shared" si="3"/>
        <v>#VALUE!</v>
      </c>
      <c r="M18" s="9" t="b">
        <f t="shared" si="4"/>
        <v>0</v>
      </c>
      <c r="N18" s="10" t="e">
        <f t="shared" ref="N18:DJ18" si="27">IF(N$1&gt;$L$2,"",IF(N$1=$L$2,1,IF($L$2-N$1=$L$1-$M18,$L$3^($L$1-$M18),($L$3*N19*O19/(N19+($L$3-1)*O19)))))</f>
        <v>#DIV/0!</v>
      </c>
      <c r="O18" s="10" t="e">
        <f t="shared" si="27"/>
        <v>#DIV/0!</v>
      </c>
      <c r="P18" s="10">
        <f t="shared" si="27"/>
        <v>1</v>
      </c>
      <c r="Q18" s="10" t="str">
        <f t="shared" si="27"/>
        <v/>
      </c>
      <c r="R18" s="10" t="str">
        <f t="shared" si="27"/>
        <v/>
      </c>
      <c r="S18" s="10" t="str">
        <f t="shared" si="27"/>
        <v/>
      </c>
      <c r="T18" s="10" t="str">
        <f t="shared" si="27"/>
        <v/>
      </c>
      <c r="U18" s="10" t="str">
        <f t="shared" si="27"/>
        <v/>
      </c>
      <c r="V18" s="10" t="str">
        <f t="shared" si="27"/>
        <v/>
      </c>
      <c r="W18" s="10" t="str">
        <f t="shared" si="27"/>
        <v/>
      </c>
      <c r="X18" s="10" t="str">
        <f t="shared" si="27"/>
        <v/>
      </c>
      <c r="Y18" s="10" t="str">
        <f t="shared" si="27"/>
        <v/>
      </c>
      <c r="Z18" s="10" t="str">
        <f t="shared" si="27"/>
        <v/>
      </c>
      <c r="AA18" s="10" t="str">
        <f t="shared" si="27"/>
        <v/>
      </c>
      <c r="AB18" s="10" t="str">
        <f t="shared" si="27"/>
        <v/>
      </c>
      <c r="AC18" s="10" t="str">
        <f t="shared" si="27"/>
        <v/>
      </c>
      <c r="AD18" s="10" t="str">
        <f t="shared" si="27"/>
        <v/>
      </c>
      <c r="AE18" s="10" t="str">
        <f t="shared" si="27"/>
        <v/>
      </c>
      <c r="AF18" s="10" t="str">
        <f t="shared" si="27"/>
        <v/>
      </c>
      <c r="AG18" s="10" t="str">
        <f t="shared" si="27"/>
        <v/>
      </c>
      <c r="AH18" s="10" t="str">
        <f t="shared" si="27"/>
        <v/>
      </c>
      <c r="AI18" s="10" t="str">
        <f t="shared" si="27"/>
        <v/>
      </c>
      <c r="AJ18" s="10" t="str">
        <f t="shared" si="27"/>
        <v/>
      </c>
      <c r="AK18" s="10" t="str">
        <f t="shared" si="27"/>
        <v/>
      </c>
      <c r="AL18" s="10" t="str">
        <f t="shared" si="27"/>
        <v/>
      </c>
      <c r="AM18" s="10" t="str">
        <f t="shared" si="27"/>
        <v/>
      </c>
      <c r="AN18" s="10" t="str">
        <f t="shared" si="27"/>
        <v/>
      </c>
      <c r="AO18" s="10" t="str">
        <f t="shared" si="27"/>
        <v/>
      </c>
      <c r="AP18" s="10" t="str">
        <f t="shared" si="27"/>
        <v/>
      </c>
      <c r="AQ18" s="10" t="str">
        <f t="shared" si="27"/>
        <v/>
      </c>
      <c r="AR18" s="10" t="str">
        <f t="shared" si="27"/>
        <v/>
      </c>
      <c r="AS18" s="10" t="str">
        <f t="shared" si="27"/>
        <v/>
      </c>
      <c r="AT18" s="10" t="str">
        <f t="shared" si="27"/>
        <v/>
      </c>
      <c r="AU18" s="10" t="str">
        <f t="shared" si="27"/>
        <v/>
      </c>
      <c r="AV18" s="10" t="str">
        <f t="shared" si="27"/>
        <v/>
      </c>
      <c r="AW18" s="10" t="str">
        <f t="shared" si="27"/>
        <v/>
      </c>
      <c r="AX18" s="10" t="str">
        <f t="shared" si="27"/>
        <v/>
      </c>
      <c r="AY18" s="10" t="str">
        <f t="shared" si="27"/>
        <v/>
      </c>
      <c r="AZ18" s="10" t="str">
        <f t="shared" si="27"/>
        <v/>
      </c>
      <c r="BA18" s="10" t="str">
        <f t="shared" si="27"/>
        <v/>
      </c>
      <c r="BB18" s="10" t="str">
        <f t="shared" si="27"/>
        <v/>
      </c>
      <c r="BC18" s="10" t="str">
        <f t="shared" si="27"/>
        <v/>
      </c>
      <c r="BD18" s="10" t="str">
        <f t="shared" si="27"/>
        <v/>
      </c>
      <c r="BE18" s="10" t="str">
        <f t="shared" si="27"/>
        <v/>
      </c>
      <c r="BF18" s="10" t="str">
        <f t="shared" si="27"/>
        <v/>
      </c>
      <c r="BG18" s="10" t="str">
        <f t="shared" si="27"/>
        <v/>
      </c>
      <c r="BH18" s="10" t="str">
        <f t="shared" si="27"/>
        <v/>
      </c>
      <c r="BI18" s="10" t="str">
        <f t="shared" si="27"/>
        <v/>
      </c>
      <c r="BJ18" s="10" t="str">
        <f t="shared" si="27"/>
        <v/>
      </c>
      <c r="BK18" s="10" t="str">
        <f t="shared" si="27"/>
        <v/>
      </c>
      <c r="BL18" s="10" t="str">
        <f t="shared" si="27"/>
        <v/>
      </c>
      <c r="BM18" s="10" t="str">
        <f t="shared" si="27"/>
        <v/>
      </c>
      <c r="BN18" s="10" t="str">
        <f t="shared" si="27"/>
        <v/>
      </c>
      <c r="BO18" s="10" t="str">
        <f t="shared" si="27"/>
        <v/>
      </c>
      <c r="BP18" s="10" t="str">
        <f t="shared" si="27"/>
        <v/>
      </c>
      <c r="BQ18" s="10" t="str">
        <f t="shared" si="27"/>
        <v/>
      </c>
      <c r="BR18" s="10" t="str">
        <f t="shared" si="27"/>
        <v/>
      </c>
      <c r="BS18" s="10" t="str">
        <f t="shared" si="27"/>
        <v/>
      </c>
      <c r="BT18" s="10" t="str">
        <f t="shared" si="27"/>
        <v/>
      </c>
      <c r="BU18" s="10" t="str">
        <f t="shared" si="27"/>
        <v/>
      </c>
      <c r="BV18" s="10" t="str">
        <f t="shared" si="27"/>
        <v/>
      </c>
      <c r="BW18" s="10" t="str">
        <f t="shared" si="27"/>
        <v/>
      </c>
      <c r="BX18" s="10" t="str">
        <f t="shared" si="27"/>
        <v/>
      </c>
      <c r="BY18" s="10" t="str">
        <f t="shared" si="27"/>
        <v/>
      </c>
      <c r="BZ18" s="10" t="str">
        <f t="shared" si="27"/>
        <v/>
      </c>
      <c r="CA18" s="10" t="str">
        <f t="shared" si="27"/>
        <v/>
      </c>
      <c r="CB18" s="10" t="str">
        <f t="shared" si="27"/>
        <v/>
      </c>
      <c r="CC18" s="10" t="str">
        <f t="shared" si="27"/>
        <v/>
      </c>
      <c r="CD18" s="10" t="str">
        <f t="shared" si="27"/>
        <v/>
      </c>
      <c r="CE18" s="10" t="str">
        <f t="shared" si="27"/>
        <v/>
      </c>
      <c r="CF18" s="10" t="str">
        <f t="shared" si="27"/>
        <v/>
      </c>
      <c r="CG18" s="10" t="str">
        <f t="shared" si="27"/>
        <v/>
      </c>
      <c r="CH18" s="10" t="str">
        <f t="shared" si="27"/>
        <v/>
      </c>
      <c r="CI18" s="10" t="str">
        <f t="shared" si="27"/>
        <v/>
      </c>
      <c r="CJ18" s="10" t="str">
        <f t="shared" si="27"/>
        <v/>
      </c>
      <c r="CK18" s="10" t="str">
        <f t="shared" si="27"/>
        <v/>
      </c>
      <c r="CL18" s="10" t="str">
        <f t="shared" si="27"/>
        <v/>
      </c>
      <c r="CM18" s="10" t="str">
        <f t="shared" si="27"/>
        <v/>
      </c>
      <c r="CN18" s="10" t="str">
        <f t="shared" si="27"/>
        <v/>
      </c>
      <c r="CO18" s="10" t="str">
        <f t="shared" si="27"/>
        <v/>
      </c>
      <c r="CP18" s="10" t="str">
        <f t="shared" si="27"/>
        <v/>
      </c>
      <c r="CQ18" s="10" t="str">
        <f t="shared" si="27"/>
        <v/>
      </c>
      <c r="CR18" s="10" t="str">
        <f t="shared" si="27"/>
        <v/>
      </c>
      <c r="CS18" s="10" t="str">
        <f t="shared" si="27"/>
        <v/>
      </c>
      <c r="CT18" s="10" t="str">
        <f t="shared" si="27"/>
        <v/>
      </c>
      <c r="CU18" s="10" t="str">
        <f t="shared" si="27"/>
        <v/>
      </c>
      <c r="CV18" s="10" t="str">
        <f t="shared" si="27"/>
        <v/>
      </c>
      <c r="CW18" s="10" t="str">
        <f t="shared" si="27"/>
        <v/>
      </c>
      <c r="CX18" s="10" t="str">
        <f t="shared" si="27"/>
        <v/>
      </c>
      <c r="CY18" s="10" t="str">
        <f t="shared" si="27"/>
        <v/>
      </c>
      <c r="CZ18" s="10" t="str">
        <f t="shared" si="27"/>
        <v/>
      </c>
      <c r="DA18" s="10" t="str">
        <f t="shared" si="27"/>
        <v/>
      </c>
      <c r="DB18" s="10" t="str">
        <f t="shared" si="27"/>
        <v/>
      </c>
      <c r="DC18" s="10" t="str">
        <f t="shared" si="27"/>
        <v/>
      </c>
      <c r="DD18" s="10" t="str">
        <f t="shared" si="27"/>
        <v/>
      </c>
      <c r="DE18" s="10" t="str">
        <f t="shared" si="27"/>
        <v/>
      </c>
      <c r="DF18" s="10" t="str">
        <f t="shared" si="27"/>
        <v/>
      </c>
      <c r="DG18" s="10" t="str">
        <f t="shared" si="27"/>
        <v/>
      </c>
      <c r="DH18" s="10" t="str">
        <f t="shared" si="27"/>
        <v/>
      </c>
      <c r="DI18" s="10" t="str">
        <f t="shared" si="27"/>
        <v/>
      </c>
      <c r="DJ18" s="10" t="str">
        <f t="shared" si="27"/>
        <v/>
      </c>
    </row>
    <row r="19" spans="1:114" ht="15.75" customHeight="1">
      <c r="A19" s="1">
        <f>Gerenciamento!D19</f>
        <v>0</v>
      </c>
      <c r="B19" s="1" t="e">
        <f t="shared" si="2"/>
        <v>#VALUE!</v>
      </c>
      <c r="C19" s="2" t="e">
        <f t="shared" si="6"/>
        <v>#VALUE!</v>
      </c>
      <c r="D19" s="2" t="e">
        <f t="shared" si="7"/>
        <v>#VALUE!</v>
      </c>
      <c r="E19" s="2" t="e">
        <f t="shared" si="8"/>
        <v>#VALUE!</v>
      </c>
      <c r="F19" s="2" t="e">
        <f t="shared" si="9"/>
        <v>#VALUE!</v>
      </c>
      <c r="G19" s="5" t="e">
        <f t="shared" si="15"/>
        <v>#VALUE!</v>
      </c>
      <c r="H19" s="1" t="e">
        <f t="shared" si="10"/>
        <v>#VALUE!</v>
      </c>
      <c r="I19" s="1" t="e">
        <f t="shared" si="12"/>
        <v>#VALUE!</v>
      </c>
      <c r="J19" s="6" t="e">
        <f t="shared" si="3"/>
        <v>#VALUE!</v>
      </c>
      <c r="M19" s="9" t="b">
        <f t="shared" si="4"/>
        <v>0</v>
      </c>
      <c r="N19" s="10" t="e">
        <f t="shared" ref="N19:DJ19" si="28">IF(N$1&gt;$L$2,"",IF(N$1=$L$2,1,IF($L$2-N$1=$L$1-$M19,$L$3^($L$1-$M19),($L$3*N20*O20/(N20+($L$3-1)*O20)))))</f>
        <v>#DIV/0!</v>
      </c>
      <c r="O19" s="10" t="e">
        <f t="shared" si="28"/>
        <v>#DIV/0!</v>
      </c>
      <c r="P19" s="10">
        <f t="shared" si="28"/>
        <v>1</v>
      </c>
      <c r="Q19" s="10" t="str">
        <f t="shared" si="28"/>
        <v/>
      </c>
      <c r="R19" s="10" t="str">
        <f t="shared" si="28"/>
        <v/>
      </c>
      <c r="S19" s="10" t="str">
        <f t="shared" si="28"/>
        <v/>
      </c>
      <c r="T19" s="10" t="str">
        <f t="shared" si="28"/>
        <v/>
      </c>
      <c r="U19" s="10" t="str">
        <f t="shared" si="28"/>
        <v/>
      </c>
      <c r="V19" s="10" t="str">
        <f t="shared" si="28"/>
        <v/>
      </c>
      <c r="W19" s="10" t="str">
        <f t="shared" si="28"/>
        <v/>
      </c>
      <c r="X19" s="10" t="str">
        <f t="shared" si="28"/>
        <v/>
      </c>
      <c r="Y19" s="10" t="str">
        <f t="shared" si="28"/>
        <v/>
      </c>
      <c r="Z19" s="10" t="str">
        <f t="shared" si="28"/>
        <v/>
      </c>
      <c r="AA19" s="10" t="str">
        <f t="shared" si="28"/>
        <v/>
      </c>
      <c r="AB19" s="10" t="str">
        <f t="shared" si="28"/>
        <v/>
      </c>
      <c r="AC19" s="10" t="str">
        <f t="shared" si="28"/>
        <v/>
      </c>
      <c r="AD19" s="10" t="str">
        <f t="shared" si="28"/>
        <v/>
      </c>
      <c r="AE19" s="10" t="str">
        <f t="shared" si="28"/>
        <v/>
      </c>
      <c r="AF19" s="10" t="str">
        <f t="shared" si="28"/>
        <v/>
      </c>
      <c r="AG19" s="10" t="str">
        <f t="shared" si="28"/>
        <v/>
      </c>
      <c r="AH19" s="10" t="str">
        <f t="shared" si="28"/>
        <v/>
      </c>
      <c r="AI19" s="10" t="str">
        <f t="shared" si="28"/>
        <v/>
      </c>
      <c r="AJ19" s="10" t="str">
        <f t="shared" si="28"/>
        <v/>
      </c>
      <c r="AK19" s="10" t="str">
        <f t="shared" si="28"/>
        <v/>
      </c>
      <c r="AL19" s="10" t="str">
        <f t="shared" si="28"/>
        <v/>
      </c>
      <c r="AM19" s="10" t="str">
        <f t="shared" si="28"/>
        <v/>
      </c>
      <c r="AN19" s="10" t="str">
        <f t="shared" si="28"/>
        <v/>
      </c>
      <c r="AO19" s="10" t="str">
        <f t="shared" si="28"/>
        <v/>
      </c>
      <c r="AP19" s="10" t="str">
        <f t="shared" si="28"/>
        <v/>
      </c>
      <c r="AQ19" s="10" t="str">
        <f t="shared" si="28"/>
        <v/>
      </c>
      <c r="AR19" s="10" t="str">
        <f t="shared" si="28"/>
        <v/>
      </c>
      <c r="AS19" s="10" t="str">
        <f t="shared" si="28"/>
        <v/>
      </c>
      <c r="AT19" s="10" t="str">
        <f t="shared" si="28"/>
        <v/>
      </c>
      <c r="AU19" s="10" t="str">
        <f t="shared" si="28"/>
        <v/>
      </c>
      <c r="AV19" s="10" t="str">
        <f t="shared" si="28"/>
        <v/>
      </c>
      <c r="AW19" s="10" t="str">
        <f t="shared" si="28"/>
        <v/>
      </c>
      <c r="AX19" s="10" t="str">
        <f t="shared" si="28"/>
        <v/>
      </c>
      <c r="AY19" s="10" t="str">
        <f t="shared" si="28"/>
        <v/>
      </c>
      <c r="AZ19" s="10" t="str">
        <f t="shared" si="28"/>
        <v/>
      </c>
      <c r="BA19" s="10" t="str">
        <f t="shared" si="28"/>
        <v/>
      </c>
      <c r="BB19" s="10" t="str">
        <f t="shared" si="28"/>
        <v/>
      </c>
      <c r="BC19" s="10" t="str">
        <f t="shared" si="28"/>
        <v/>
      </c>
      <c r="BD19" s="10" t="str">
        <f t="shared" si="28"/>
        <v/>
      </c>
      <c r="BE19" s="10" t="str">
        <f t="shared" si="28"/>
        <v/>
      </c>
      <c r="BF19" s="10" t="str">
        <f t="shared" si="28"/>
        <v/>
      </c>
      <c r="BG19" s="10" t="str">
        <f t="shared" si="28"/>
        <v/>
      </c>
      <c r="BH19" s="10" t="str">
        <f t="shared" si="28"/>
        <v/>
      </c>
      <c r="BI19" s="10" t="str">
        <f t="shared" si="28"/>
        <v/>
      </c>
      <c r="BJ19" s="10" t="str">
        <f t="shared" si="28"/>
        <v/>
      </c>
      <c r="BK19" s="10" t="str">
        <f t="shared" si="28"/>
        <v/>
      </c>
      <c r="BL19" s="10" t="str">
        <f t="shared" si="28"/>
        <v/>
      </c>
      <c r="BM19" s="10" t="str">
        <f t="shared" si="28"/>
        <v/>
      </c>
      <c r="BN19" s="10" t="str">
        <f t="shared" si="28"/>
        <v/>
      </c>
      <c r="BO19" s="10" t="str">
        <f t="shared" si="28"/>
        <v/>
      </c>
      <c r="BP19" s="10" t="str">
        <f t="shared" si="28"/>
        <v/>
      </c>
      <c r="BQ19" s="10" t="str">
        <f t="shared" si="28"/>
        <v/>
      </c>
      <c r="BR19" s="10" t="str">
        <f t="shared" si="28"/>
        <v/>
      </c>
      <c r="BS19" s="10" t="str">
        <f t="shared" si="28"/>
        <v/>
      </c>
      <c r="BT19" s="10" t="str">
        <f t="shared" si="28"/>
        <v/>
      </c>
      <c r="BU19" s="10" t="str">
        <f t="shared" si="28"/>
        <v/>
      </c>
      <c r="BV19" s="10" t="str">
        <f t="shared" si="28"/>
        <v/>
      </c>
      <c r="BW19" s="10" t="str">
        <f t="shared" si="28"/>
        <v/>
      </c>
      <c r="BX19" s="10" t="str">
        <f t="shared" si="28"/>
        <v/>
      </c>
      <c r="BY19" s="10" t="str">
        <f t="shared" si="28"/>
        <v/>
      </c>
      <c r="BZ19" s="10" t="str">
        <f t="shared" si="28"/>
        <v/>
      </c>
      <c r="CA19" s="10" t="str">
        <f t="shared" si="28"/>
        <v/>
      </c>
      <c r="CB19" s="10" t="str">
        <f t="shared" si="28"/>
        <v/>
      </c>
      <c r="CC19" s="10" t="str">
        <f t="shared" si="28"/>
        <v/>
      </c>
      <c r="CD19" s="10" t="str">
        <f t="shared" si="28"/>
        <v/>
      </c>
      <c r="CE19" s="10" t="str">
        <f t="shared" si="28"/>
        <v/>
      </c>
      <c r="CF19" s="10" t="str">
        <f t="shared" si="28"/>
        <v/>
      </c>
      <c r="CG19" s="10" t="str">
        <f t="shared" si="28"/>
        <v/>
      </c>
      <c r="CH19" s="10" t="str">
        <f t="shared" si="28"/>
        <v/>
      </c>
      <c r="CI19" s="10" t="str">
        <f t="shared" si="28"/>
        <v/>
      </c>
      <c r="CJ19" s="10" t="str">
        <f t="shared" si="28"/>
        <v/>
      </c>
      <c r="CK19" s="10" t="str">
        <f t="shared" si="28"/>
        <v/>
      </c>
      <c r="CL19" s="10" t="str">
        <f t="shared" si="28"/>
        <v/>
      </c>
      <c r="CM19" s="10" t="str">
        <f t="shared" si="28"/>
        <v/>
      </c>
      <c r="CN19" s="10" t="str">
        <f t="shared" si="28"/>
        <v/>
      </c>
      <c r="CO19" s="10" t="str">
        <f t="shared" si="28"/>
        <v/>
      </c>
      <c r="CP19" s="10" t="str">
        <f t="shared" si="28"/>
        <v/>
      </c>
      <c r="CQ19" s="10" t="str">
        <f t="shared" si="28"/>
        <v/>
      </c>
      <c r="CR19" s="10" t="str">
        <f t="shared" si="28"/>
        <v/>
      </c>
      <c r="CS19" s="10" t="str">
        <f t="shared" si="28"/>
        <v/>
      </c>
      <c r="CT19" s="10" t="str">
        <f t="shared" si="28"/>
        <v/>
      </c>
      <c r="CU19" s="10" t="str">
        <f t="shared" si="28"/>
        <v/>
      </c>
      <c r="CV19" s="10" t="str">
        <f t="shared" si="28"/>
        <v/>
      </c>
      <c r="CW19" s="10" t="str">
        <f t="shared" si="28"/>
        <v/>
      </c>
      <c r="CX19" s="10" t="str">
        <f t="shared" si="28"/>
        <v/>
      </c>
      <c r="CY19" s="10" t="str">
        <f t="shared" si="28"/>
        <v/>
      </c>
      <c r="CZ19" s="10" t="str">
        <f t="shared" si="28"/>
        <v/>
      </c>
      <c r="DA19" s="10" t="str">
        <f t="shared" si="28"/>
        <v/>
      </c>
      <c r="DB19" s="10" t="str">
        <f t="shared" si="28"/>
        <v/>
      </c>
      <c r="DC19" s="10" t="str">
        <f t="shared" si="28"/>
        <v/>
      </c>
      <c r="DD19" s="10" t="str">
        <f t="shared" si="28"/>
        <v/>
      </c>
      <c r="DE19" s="10" t="str">
        <f t="shared" si="28"/>
        <v/>
      </c>
      <c r="DF19" s="10" t="str">
        <f t="shared" si="28"/>
        <v/>
      </c>
      <c r="DG19" s="10" t="str">
        <f t="shared" si="28"/>
        <v/>
      </c>
      <c r="DH19" s="10" t="str">
        <f t="shared" si="28"/>
        <v/>
      </c>
      <c r="DI19" s="10" t="str">
        <f t="shared" si="28"/>
        <v/>
      </c>
      <c r="DJ19" s="10" t="str">
        <f t="shared" si="28"/>
        <v/>
      </c>
    </row>
    <row r="20" spans="1:114" ht="15.75" customHeight="1">
      <c r="A20" s="1">
        <f>Gerenciamento!D20</f>
        <v>0</v>
      </c>
      <c r="B20" s="1" t="e">
        <f t="shared" si="2"/>
        <v>#VALUE!</v>
      </c>
      <c r="C20" s="2" t="e">
        <f t="shared" si="6"/>
        <v>#VALUE!</v>
      </c>
      <c r="D20" s="2" t="e">
        <f t="shared" si="7"/>
        <v>#VALUE!</v>
      </c>
      <c r="E20" s="2" t="e">
        <f t="shared" si="8"/>
        <v>#VALUE!</v>
      </c>
      <c r="F20" s="2" t="e">
        <f t="shared" si="9"/>
        <v>#VALUE!</v>
      </c>
      <c r="G20" s="5" t="e">
        <f t="shared" si="15"/>
        <v>#VALUE!</v>
      </c>
      <c r="H20" s="1" t="e">
        <f t="shared" si="10"/>
        <v>#VALUE!</v>
      </c>
      <c r="I20" s="1" t="e">
        <f t="shared" si="12"/>
        <v>#VALUE!</v>
      </c>
      <c r="J20" s="6" t="e">
        <f t="shared" si="3"/>
        <v>#VALUE!</v>
      </c>
      <c r="M20" s="9" t="b">
        <f t="shared" si="4"/>
        <v>0</v>
      </c>
      <c r="N20" s="10" t="e">
        <f t="shared" ref="N20:DJ20" si="29">IF(N$1&gt;$L$2,"",IF(N$1=$L$2,1,IF($L$2-N$1=$L$1-$M20,$L$3^($L$1-$M20),($L$3*N21*O21/(N21+($L$3-1)*O21)))))</f>
        <v>#DIV/0!</v>
      </c>
      <c r="O20" s="10" t="e">
        <f t="shared" si="29"/>
        <v>#DIV/0!</v>
      </c>
      <c r="P20" s="10">
        <f t="shared" si="29"/>
        <v>1</v>
      </c>
      <c r="Q20" s="10" t="str">
        <f t="shared" si="29"/>
        <v/>
      </c>
      <c r="R20" s="10" t="str">
        <f t="shared" si="29"/>
        <v/>
      </c>
      <c r="S20" s="10" t="str">
        <f t="shared" si="29"/>
        <v/>
      </c>
      <c r="T20" s="10" t="str">
        <f t="shared" si="29"/>
        <v/>
      </c>
      <c r="U20" s="10" t="str">
        <f t="shared" si="29"/>
        <v/>
      </c>
      <c r="V20" s="10" t="str">
        <f t="shared" si="29"/>
        <v/>
      </c>
      <c r="W20" s="10" t="str">
        <f t="shared" si="29"/>
        <v/>
      </c>
      <c r="X20" s="10" t="str">
        <f t="shared" si="29"/>
        <v/>
      </c>
      <c r="Y20" s="10" t="str">
        <f t="shared" si="29"/>
        <v/>
      </c>
      <c r="Z20" s="10" t="str">
        <f t="shared" si="29"/>
        <v/>
      </c>
      <c r="AA20" s="10" t="str">
        <f t="shared" si="29"/>
        <v/>
      </c>
      <c r="AB20" s="10" t="str">
        <f t="shared" si="29"/>
        <v/>
      </c>
      <c r="AC20" s="10" t="str">
        <f t="shared" si="29"/>
        <v/>
      </c>
      <c r="AD20" s="10" t="str">
        <f t="shared" si="29"/>
        <v/>
      </c>
      <c r="AE20" s="10" t="str">
        <f t="shared" si="29"/>
        <v/>
      </c>
      <c r="AF20" s="10" t="str">
        <f t="shared" si="29"/>
        <v/>
      </c>
      <c r="AG20" s="10" t="str">
        <f t="shared" si="29"/>
        <v/>
      </c>
      <c r="AH20" s="10" t="str">
        <f t="shared" si="29"/>
        <v/>
      </c>
      <c r="AI20" s="10" t="str">
        <f t="shared" si="29"/>
        <v/>
      </c>
      <c r="AJ20" s="10" t="str">
        <f t="shared" si="29"/>
        <v/>
      </c>
      <c r="AK20" s="10" t="str">
        <f t="shared" si="29"/>
        <v/>
      </c>
      <c r="AL20" s="10" t="str">
        <f t="shared" si="29"/>
        <v/>
      </c>
      <c r="AM20" s="10" t="str">
        <f t="shared" si="29"/>
        <v/>
      </c>
      <c r="AN20" s="10" t="str">
        <f t="shared" si="29"/>
        <v/>
      </c>
      <c r="AO20" s="10" t="str">
        <f t="shared" si="29"/>
        <v/>
      </c>
      <c r="AP20" s="10" t="str">
        <f t="shared" si="29"/>
        <v/>
      </c>
      <c r="AQ20" s="10" t="str">
        <f t="shared" si="29"/>
        <v/>
      </c>
      <c r="AR20" s="10" t="str">
        <f t="shared" si="29"/>
        <v/>
      </c>
      <c r="AS20" s="10" t="str">
        <f t="shared" si="29"/>
        <v/>
      </c>
      <c r="AT20" s="10" t="str">
        <f t="shared" si="29"/>
        <v/>
      </c>
      <c r="AU20" s="10" t="str">
        <f t="shared" si="29"/>
        <v/>
      </c>
      <c r="AV20" s="10" t="str">
        <f t="shared" si="29"/>
        <v/>
      </c>
      <c r="AW20" s="10" t="str">
        <f t="shared" si="29"/>
        <v/>
      </c>
      <c r="AX20" s="10" t="str">
        <f t="shared" si="29"/>
        <v/>
      </c>
      <c r="AY20" s="10" t="str">
        <f t="shared" si="29"/>
        <v/>
      </c>
      <c r="AZ20" s="10" t="str">
        <f t="shared" si="29"/>
        <v/>
      </c>
      <c r="BA20" s="10" t="str">
        <f t="shared" si="29"/>
        <v/>
      </c>
      <c r="BB20" s="10" t="str">
        <f t="shared" si="29"/>
        <v/>
      </c>
      <c r="BC20" s="10" t="str">
        <f t="shared" si="29"/>
        <v/>
      </c>
      <c r="BD20" s="10" t="str">
        <f t="shared" si="29"/>
        <v/>
      </c>
      <c r="BE20" s="10" t="str">
        <f t="shared" si="29"/>
        <v/>
      </c>
      <c r="BF20" s="10" t="str">
        <f t="shared" si="29"/>
        <v/>
      </c>
      <c r="BG20" s="10" t="str">
        <f t="shared" si="29"/>
        <v/>
      </c>
      <c r="BH20" s="10" t="str">
        <f t="shared" si="29"/>
        <v/>
      </c>
      <c r="BI20" s="10" t="str">
        <f t="shared" si="29"/>
        <v/>
      </c>
      <c r="BJ20" s="10" t="str">
        <f t="shared" si="29"/>
        <v/>
      </c>
      <c r="BK20" s="10" t="str">
        <f t="shared" si="29"/>
        <v/>
      </c>
      <c r="BL20" s="10" t="str">
        <f t="shared" si="29"/>
        <v/>
      </c>
      <c r="BM20" s="10" t="str">
        <f t="shared" si="29"/>
        <v/>
      </c>
      <c r="BN20" s="10" t="str">
        <f t="shared" si="29"/>
        <v/>
      </c>
      <c r="BO20" s="10" t="str">
        <f t="shared" si="29"/>
        <v/>
      </c>
      <c r="BP20" s="10" t="str">
        <f t="shared" si="29"/>
        <v/>
      </c>
      <c r="BQ20" s="10" t="str">
        <f t="shared" si="29"/>
        <v/>
      </c>
      <c r="BR20" s="10" t="str">
        <f t="shared" si="29"/>
        <v/>
      </c>
      <c r="BS20" s="10" t="str">
        <f t="shared" si="29"/>
        <v/>
      </c>
      <c r="BT20" s="10" t="str">
        <f t="shared" si="29"/>
        <v/>
      </c>
      <c r="BU20" s="10" t="str">
        <f t="shared" si="29"/>
        <v/>
      </c>
      <c r="BV20" s="10" t="str">
        <f t="shared" si="29"/>
        <v/>
      </c>
      <c r="BW20" s="10" t="str">
        <f t="shared" si="29"/>
        <v/>
      </c>
      <c r="BX20" s="10" t="str">
        <f t="shared" si="29"/>
        <v/>
      </c>
      <c r="BY20" s="10" t="str">
        <f t="shared" si="29"/>
        <v/>
      </c>
      <c r="BZ20" s="10" t="str">
        <f t="shared" si="29"/>
        <v/>
      </c>
      <c r="CA20" s="10" t="str">
        <f t="shared" si="29"/>
        <v/>
      </c>
      <c r="CB20" s="10" t="str">
        <f t="shared" si="29"/>
        <v/>
      </c>
      <c r="CC20" s="10" t="str">
        <f t="shared" si="29"/>
        <v/>
      </c>
      <c r="CD20" s="10" t="str">
        <f t="shared" si="29"/>
        <v/>
      </c>
      <c r="CE20" s="10" t="str">
        <f t="shared" si="29"/>
        <v/>
      </c>
      <c r="CF20" s="10" t="str">
        <f t="shared" si="29"/>
        <v/>
      </c>
      <c r="CG20" s="10" t="str">
        <f t="shared" si="29"/>
        <v/>
      </c>
      <c r="CH20" s="10" t="str">
        <f t="shared" si="29"/>
        <v/>
      </c>
      <c r="CI20" s="10" t="str">
        <f t="shared" si="29"/>
        <v/>
      </c>
      <c r="CJ20" s="10" t="str">
        <f t="shared" si="29"/>
        <v/>
      </c>
      <c r="CK20" s="10" t="str">
        <f t="shared" si="29"/>
        <v/>
      </c>
      <c r="CL20" s="10" t="str">
        <f t="shared" si="29"/>
        <v/>
      </c>
      <c r="CM20" s="10" t="str">
        <f t="shared" si="29"/>
        <v/>
      </c>
      <c r="CN20" s="10" t="str">
        <f t="shared" si="29"/>
        <v/>
      </c>
      <c r="CO20" s="10" t="str">
        <f t="shared" si="29"/>
        <v/>
      </c>
      <c r="CP20" s="10" t="str">
        <f t="shared" si="29"/>
        <v/>
      </c>
      <c r="CQ20" s="10" t="str">
        <f t="shared" si="29"/>
        <v/>
      </c>
      <c r="CR20" s="10" t="str">
        <f t="shared" si="29"/>
        <v/>
      </c>
      <c r="CS20" s="10" t="str">
        <f t="shared" si="29"/>
        <v/>
      </c>
      <c r="CT20" s="10" t="str">
        <f t="shared" si="29"/>
        <v/>
      </c>
      <c r="CU20" s="10" t="str">
        <f t="shared" si="29"/>
        <v/>
      </c>
      <c r="CV20" s="10" t="str">
        <f t="shared" si="29"/>
        <v/>
      </c>
      <c r="CW20" s="10" t="str">
        <f t="shared" si="29"/>
        <v/>
      </c>
      <c r="CX20" s="10" t="str">
        <f t="shared" si="29"/>
        <v/>
      </c>
      <c r="CY20" s="10" t="str">
        <f t="shared" si="29"/>
        <v/>
      </c>
      <c r="CZ20" s="10" t="str">
        <f t="shared" si="29"/>
        <v/>
      </c>
      <c r="DA20" s="10" t="str">
        <f t="shared" si="29"/>
        <v/>
      </c>
      <c r="DB20" s="10" t="str">
        <f t="shared" si="29"/>
        <v/>
      </c>
      <c r="DC20" s="10" t="str">
        <f t="shared" si="29"/>
        <v/>
      </c>
      <c r="DD20" s="10" t="str">
        <f t="shared" si="29"/>
        <v/>
      </c>
      <c r="DE20" s="10" t="str">
        <f t="shared" si="29"/>
        <v/>
      </c>
      <c r="DF20" s="10" t="str">
        <f t="shared" si="29"/>
        <v/>
      </c>
      <c r="DG20" s="10" t="str">
        <f t="shared" si="29"/>
        <v/>
      </c>
      <c r="DH20" s="10" t="str">
        <f t="shared" si="29"/>
        <v/>
      </c>
      <c r="DI20" s="10" t="str">
        <f t="shared" si="29"/>
        <v/>
      </c>
      <c r="DJ20" s="10" t="str">
        <f t="shared" si="29"/>
        <v/>
      </c>
    </row>
    <row r="21" spans="1:114" ht="15.75" customHeight="1">
      <c r="A21" s="1">
        <f>Gerenciamento!D21</f>
        <v>0</v>
      </c>
      <c r="B21" s="1" t="e">
        <f t="shared" si="2"/>
        <v>#VALUE!</v>
      </c>
      <c r="C21" s="2" t="e">
        <f t="shared" si="6"/>
        <v>#VALUE!</v>
      </c>
      <c r="D21" s="2" t="e">
        <f t="shared" si="7"/>
        <v>#VALUE!</v>
      </c>
      <c r="E21" s="2" t="e">
        <f t="shared" si="8"/>
        <v>#VALUE!</v>
      </c>
      <c r="F21" s="2" t="e">
        <f t="shared" si="9"/>
        <v>#VALUE!</v>
      </c>
      <c r="G21" s="5" t="e">
        <f t="shared" si="15"/>
        <v>#VALUE!</v>
      </c>
      <c r="H21" s="1" t="e">
        <f t="shared" si="10"/>
        <v>#VALUE!</v>
      </c>
      <c r="I21" s="1" t="e">
        <f t="shared" si="12"/>
        <v>#VALUE!</v>
      </c>
      <c r="J21" s="6" t="e">
        <f t="shared" si="3"/>
        <v>#VALUE!</v>
      </c>
      <c r="M21" s="9" t="b">
        <f t="shared" si="4"/>
        <v>0</v>
      </c>
      <c r="N21" s="10" t="e">
        <f t="shared" ref="N21:DJ21" si="30">IF(N$1&gt;$L$2,"",IF(N$1=$L$2,1,IF($L$2-N$1=$L$1-$M21,$L$3^($L$1-$M21),($L$3*N22*O22/(N22+($L$3-1)*O22)))))</f>
        <v>#DIV/0!</v>
      </c>
      <c r="O21" s="10" t="e">
        <f t="shared" si="30"/>
        <v>#DIV/0!</v>
      </c>
      <c r="P21" s="10">
        <f t="shared" si="30"/>
        <v>1</v>
      </c>
      <c r="Q21" s="10" t="str">
        <f t="shared" si="30"/>
        <v/>
      </c>
      <c r="R21" s="10" t="str">
        <f t="shared" si="30"/>
        <v/>
      </c>
      <c r="S21" s="10" t="str">
        <f t="shared" si="30"/>
        <v/>
      </c>
      <c r="T21" s="10" t="str">
        <f t="shared" si="30"/>
        <v/>
      </c>
      <c r="U21" s="10" t="str">
        <f t="shared" si="30"/>
        <v/>
      </c>
      <c r="V21" s="10" t="str">
        <f t="shared" si="30"/>
        <v/>
      </c>
      <c r="W21" s="10" t="str">
        <f t="shared" si="30"/>
        <v/>
      </c>
      <c r="X21" s="10" t="str">
        <f t="shared" si="30"/>
        <v/>
      </c>
      <c r="Y21" s="10" t="str">
        <f t="shared" si="30"/>
        <v/>
      </c>
      <c r="Z21" s="10" t="str">
        <f t="shared" si="30"/>
        <v/>
      </c>
      <c r="AA21" s="10" t="str">
        <f t="shared" si="30"/>
        <v/>
      </c>
      <c r="AB21" s="10" t="str">
        <f t="shared" si="30"/>
        <v/>
      </c>
      <c r="AC21" s="10" t="str">
        <f t="shared" si="30"/>
        <v/>
      </c>
      <c r="AD21" s="10" t="str">
        <f t="shared" si="30"/>
        <v/>
      </c>
      <c r="AE21" s="10" t="str">
        <f t="shared" si="30"/>
        <v/>
      </c>
      <c r="AF21" s="10" t="str">
        <f t="shared" si="30"/>
        <v/>
      </c>
      <c r="AG21" s="10" t="str">
        <f t="shared" si="30"/>
        <v/>
      </c>
      <c r="AH21" s="10" t="str">
        <f t="shared" si="30"/>
        <v/>
      </c>
      <c r="AI21" s="10" t="str">
        <f t="shared" si="30"/>
        <v/>
      </c>
      <c r="AJ21" s="10" t="str">
        <f t="shared" si="30"/>
        <v/>
      </c>
      <c r="AK21" s="10" t="str">
        <f t="shared" si="30"/>
        <v/>
      </c>
      <c r="AL21" s="10" t="str">
        <f t="shared" si="30"/>
        <v/>
      </c>
      <c r="AM21" s="10" t="str">
        <f t="shared" si="30"/>
        <v/>
      </c>
      <c r="AN21" s="10" t="str">
        <f t="shared" si="30"/>
        <v/>
      </c>
      <c r="AO21" s="10" t="str">
        <f t="shared" si="30"/>
        <v/>
      </c>
      <c r="AP21" s="10" t="str">
        <f t="shared" si="30"/>
        <v/>
      </c>
      <c r="AQ21" s="10" t="str">
        <f t="shared" si="30"/>
        <v/>
      </c>
      <c r="AR21" s="10" t="str">
        <f t="shared" si="30"/>
        <v/>
      </c>
      <c r="AS21" s="10" t="str">
        <f t="shared" si="30"/>
        <v/>
      </c>
      <c r="AT21" s="10" t="str">
        <f t="shared" si="30"/>
        <v/>
      </c>
      <c r="AU21" s="10" t="str">
        <f t="shared" si="30"/>
        <v/>
      </c>
      <c r="AV21" s="10" t="str">
        <f t="shared" si="30"/>
        <v/>
      </c>
      <c r="AW21" s="10" t="str">
        <f t="shared" si="30"/>
        <v/>
      </c>
      <c r="AX21" s="10" t="str">
        <f t="shared" si="30"/>
        <v/>
      </c>
      <c r="AY21" s="10" t="str">
        <f t="shared" si="30"/>
        <v/>
      </c>
      <c r="AZ21" s="10" t="str">
        <f t="shared" si="30"/>
        <v/>
      </c>
      <c r="BA21" s="10" t="str">
        <f t="shared" si="30"/>
        <v/>
      </c>
      <c r="BB21" s="10" t="str">
        <f t="shared" si="30"/>
        <v/>
      </c>
      <c r="BC21" s="10" t="str">
        <f t="shared" si="30"/>
        <v/>
      </c>
      <c r="BD21" s="10" t="str">
        <f t="shared" si="30"/>
        <v/>
      </c>
      <c r="BE21" s="10" t="str">
        <f t="shared" si="30"/>
        <v/>
      </c>
      <c r="BF21" s="10" t="str">
        <f t="shared" si="30"/>
        <v/>
      </c>
      <c r="BG21" s="10" t="str">
        <f t="shared" si="30"/>
        <v/>
      </c>
      <c r="BH21" s="10" t="str">
        <f t="shared" si="30"/>
        <v/>
      </c>
      <c r="BI21" s="10" t="str">
        <f t="shared" si="30"/>
        <v/>
      </c>
      <c r="BJ21" s="10" t="str">
        <f t="shared" si="30"/>
        <v/>
      </c>
      <c r="BK21" s="10" t="str">
        <f t="shared" si="30"/>
        <v/>
      </c>
      <c r="BL21" s="10" t="str">
        <f t="shared" si="30"/>
        <v/>
      </c>
      <c r="BM21" s="10" t="str">
        <f t="shared" si="30"/>
        <v/>
      </c>
      <c r="BN21" s="10" t="str">
        <f t="shared" si="30"/>
        <v/>
      </c>
      <c r="BO21" s="10" t="str">
        <f t="shared" si="30"/>
        <v/>
      </c>
      <c r="BP21" s="10" t="str">
        <f t="shared" si="30"/>
        <v/>
      </c>
      <c r="BQ21" s="10" t="str">
        <f t="shared" si="30"/>
        <v/>
      </c>
      <c r="BR21" s="10" t="str">
        <f t="shared" si="30"/>
        <v/>
      </c>
      <c r="BS21" s="10" t="str">
        <f t="shared" si="30"/>
        <v/>
      </c>
      <c r="BT21" s="10" t="str">
        <f t="shared" si="30"/>
        <v/>
      </c>
      <c r="BU21" s="10" t="str">
        <f t="shared" si="30"/>
        <v/>
      </c>
      <c r="BV21" s="10" t="str">
        <f t="shared" si="30"/>
        <v/>
      </c>
      <c r="BW21" s="10" t="str">
        <f t="shared" si="30"/>
        <v/>
      </c>
      <c r="BX21" s="10" t="str">
        <f t="shared" si="30"/>
        <v/>
      </c>
      <c r="BY21" s="10" t="str">
        <f t="shared" si="30"/>
        <v/>
      </c>
      <c r="BZ21" s="10" t="str">
        <f t="shared" si="30"/>
        <v/>
      </c>
      <c r="CA21" s="10" t="str">
        <f t="shared" si="30"/>
        <v/>
      </c>
      <c r="CB21" s="10" t="str">
        <f t="shared" si="30"/>
        <v/>
      </c>
      <c r="CC21" s="10" t="str">
        <f t="shared" si="30"/>
        <v/>
      </c>
      <c r="CD21" s="10" t="str">
        <f t="shared" si="30"/>
        <v/>
      </c>
      <c r="CE21" s="10" t="str">
        <f t="shared" si="30"/>
        <v/>
      </c>
      <c r="CF21" s="10" t="str">
        <f t="shared" si="30"/>
        <v/>
      </c>
      <c r="CG21" s="10" t="str">
        <f t="shared" si="30"/>
        <v/>
      </c>
      <c r="CH21" s="10" t="str">
        <f t="shared" si="30"/>
        <v/>
      </c>
      <c r="CI21" s="10" t="str">
        <f t="shared" si="30"/>
        <v/>
      </c>
      <c r="CJ21" s="10" t="str">
        <f t="shared" si="30"/>
        <v/>
      </c>
      <c r="CK21" s="10" t="str">
        <f t="shared" si="30"/>
        <v/>
      </c>
      <c r="CL21" s="10" t="str">
        <f t="shared" si="30"/>
        <v/>
      </c>
      <c r="CM21" s="10" t="str">
        <f t="shared" si="30"/>
        <v/>
      </c>
      <c r="CN21" s="10" t="str">
        <f t="shared" si="30"/>
        <v/>
      </c>
      <c r="CO21" s="10" t="str">
        <f t="shared" si="30"/>
        <v/>
      </c>
      <c r="CP21" s="10" t="str">
        <f t="shared" si="30"/>
        <v/>
      </c>
      <c r="CQ21" s="10" t="str">
        <f t="shared" si="30"/>
        <v/>
      </c>
      <c r="CR21" s="10" t="str">
        <f t="shared" si="30"/>
        <v/>
      </c>
      <c r="CS21" s="10" t="str">
        <f t="shared" si="30"/>
        <v/>
      </c>
      <c r="CT21" s="10" t="str">
        <f t="shared" si="30"/>
        <v/>
      </c>
      <c r="CU21" s="10" t="str">
        <f t="shared" si="30"/>
        <v/>
      </c>
      <c r="CV21" s="10" t="str">
        <f t="shared" si="30"/>
        <v/>
      </c>
      <c r="CW21" s="10" t="str">
        <f t="shared" si="30"/>
        <v/>
      </c>
      <c r="CX21" s="10" t="str">
        <f t="shared" si="30"/>
        <v/>
      </c>
      <c r="CY21" s="10" t="str">
        <f t="shared" si="30"/>
        <v/>
      </c>
      <c r="CZ21" s="10" t="str">
        <f t="shared" si="30"/>
        <v/>
      </c>
      <c r="DA21" s="10" t="str">
        <f t="shared" si="30"/>
        <v/>
      </c>
      <c r="DB21" s="10" t="str">
        <f t="shared" si="30"/>
        <v/>
      </c>
      <c r="DC21" s="10" t="str">
        <f t="shared" si="30"/>
        <v/>
      </c>
      <c r="DD21" s="10" t="str">
        <f t="shared" si="30"/>
        <v/>
      </c>
      <c r="DE21" s="10" t="str">
        <f t="shared" si="30"/>
        <v/>
      </c>
      <c r="DF21" s="10" t="str">
        <f t="shared" si="30"/>
        <v/>
      </c>
      <c r="DG21" s="10" t="str">
        <f t="shared" si="30"/>
        <v/>
      </c>
      <c r="DH21" s="10" t="str">
        <f t="shared" si="30"/>
        <v/>
      </c>
      <c r="DI21" s="10" t="str">
        <f t="shared" si="30"/>
        <v/>
      </c>
      <c r="DJ21" s="10" t="str">
        <f t="shared" si="30"/>
        <v/>
      </c>
    </row>
    <row r="22" spans="1:114" ht="15.75" customHeight="1">
      <c r="A22" s="1">
        <f>Gerenciamento!D22</f>
        <v>0</v>
      </c>
      <c r="B22" s="1" t="e">
        <f t="shared" si="2"/>
        <v>#VALUE!</v>
      </c>
      <c r="C22" s="2" t="e">
        <f t="shared" si="6"/>
        <v>#VALUE!</v>
      </c>
      <c r="D22" s="2" t="e">
        <f t="shared" si="7"/>
        <v>#VALUE!</v>
      </c>
      <c r="E22" s="2" t="e">
        <f t="shared" si="8"/>
        <v>#VALUE!</v>
      </c>
      <c r="F22" s="2" t="e">
        <f t="shared" si="9"/>
        <v>#VALUE!</v>
      </c>
      <c r="G22" s="5" t="e">
        <f t="shared" si="15"/>
        <v>#VALUE!</v>
      </c>
      <c r="H22" s="1" t="e">
        <f t="shared" si="10"/>
        <v>#VALUE!</v>
      </c>
      <c r="I22" s="1" t="e">
        <f t="shared" si="12"/>
        <v>#VALUE!</v>
      </c>
      <c r="J22" s="6" t="e">
        <f t="shared" si="3"/>
        <v>#VALUE!</v>
      </c>
      <c r="M22" s="9" t="b">
        <f t="shared" si="4"/>
        <v>0</v>
      </c>
      <c r="N22" s="10" t="e">
        <f t="shared" ref="N22:DJ22" si="31">IF(N$1&gt;$L$2,"",IF(N$1=$L$2,1,IF($L$2-N$1=$L$1-$M22,$L$3^($L$1-$M22),($L$3*N23*O23/(N23+($L$3-1)*O23)))))</f>
        <v>#DIV/0!</v>
      </c>
      <c r="O22" s="10" t="e">
        <f t="shared" si="31"/>
        <v>#DIV/0!</v>
      </c>
      <c r="P22" s="10">
        <f t="shared" si="31"/>
        <v>1</v>
      </c>
      <c r="Q22" s="10" t="str">
        <f t="shared" si="31"/>
        <v/>
      </c>
      <c r="R22" s="10" t="str">
        <f t="shared" si="31"/>
        <v/>
      </c>
      <c r="S22" s="10" t="str">
        <f t="shared" si="31"/>
        <v/>
      </c>
      <c r="T22" s="10" t="str">
        <f t="shared" si="31"/>
        <v/>
      </c>
      <c r="U22" s="10" t="str">
        <f t="shared" si="31"/>
        <v/>
      </c>
      <c r="V22" s="10" t="str">
        <f t="shared" si="31"/>
        <v/>
      </c>
      <c r="W22" s="10" t="str">
        <f t="shared" si="31"/>
        <v/>
      </c>
      <c r="X22" s="10" t="str">
        <f t="shared" si="31"/>
        <v/>
      </c>
      <c r="Y22" s="10" t="str">
        <f t="shared" si="31"/>
        <v/>
      </c>
      <c r="Z22" s="10" t="str">
        <f t="shared" si="31"/>
        <v/>
      </c>
      <c r="AA22" s="10" t="str">
        <f t="shared" si="31"/>
        <v/>
      </c>
      <c r="AB22" s="10" t="str">
        <f t="shared" si="31"/>
        <v/>
      </c>
      <c r="AC22" s="10" t="str">
        <f t="shared" si="31"/>
        <v/>
      </c>
      <c r="AD22" s="10" t="str">
        <f t="shared" si="31"/>
        <v/>
      </c>
      <c r="AE22" s="10" t="str">
        <f t="shared" si="31"/>
        <v/>
      </c>
      <c r="AF22" s="10" t="str">
        <f t="shared" si="31"/>
        <v/>
      </c>
      <c r="AG22" s="10" t="str">
        <f t="shared" si="31"/>
        <v/>
      </c>
      <c r="AH22" s="10" t="str">
        <f t="shared" si="31"/>
        <v/>
      </c>
      <c r="AI22" s="10" t="str">
        <f t="shared" si="31"/>
        <v/>
      </c>
      <c r="AJ22" s="10" t="str">
        <f t="shared" si="31"/>
        <v/>
      </c>
      <c r="AK22" s="10" t="str">
        <f t="shared" si="31"/>
        <v/>
      </c>
      <c r="AL22" s="10" t="str">
        <f t="shared" si="31"/>
        <v/>
      </c>
      <c r="AM22" s="10" t="str">
        <f t="shared" si="31"/>
        <v/>
      </c>
      <c r="AN22" s="10" t="str">
        <f t="shared" si="31"/>
        <v/>
      </c>
      <c r="AO22" s="10" t="str">
        <f t="shared" si="31"/>
        <v/>
      </c>
      <c r="AP22" s="10" t="str">
        <f t="shared" si="31"/>
        <v/>
      </c>
      <c r="AQ22" s="10" t="str">
        <f t="shared" si="31"/>
        <v/>
      </c>
      <c r="AR22" s="10" t="str">
        <f t="shared" si="31"/>
        <v/>
      </c>
      <c r="AS22" s="10" t="str">
        <f t="shared" si="31"/>
        <v/>
      </c>
      <c r="AT22" s="10" t="str">
        <f t="shared" si="31"/>
        <v/>
      </c>
      <c r="AU22" s="10" t="str">
        <f t="shared" si="31"/>
        <v/>
      </c>
      <c r="AV22" s="10" t="str">
        <f t="shared" si="31"/>
        <v/>
      </c>
      <c r="AW22" s="10" t="str">
        <f t="shared" si="31"/>
        <v/>
      </c>
      <c r="AX22" s="10" t="str">
        <f t="shared" si="31"/>
        <v/>
      </c>
      <c r="AY22" s="10" t="str">
        <f t="shared" si="31"/>
        <v/>
      </c>
      <c r="AZ22" s="10" t="str">
        <f t="shared" si="31"/>
        <v/>
      </c>
      <c r="BA22" s="10" t="str">
        <f t="shared" si="31"/>
        <v/>
      </c>
      <c r="BB22" s="10" t="str">
        <f t="shared" si="31"/>
        <v/>
      </c>
      <c r="BC22" s="10" t="str">
        <f t="shared" si="31"/>
        <v/>
      </c>
      <c r="BD22" s="10" t="str">
        <f t="shared" si="31"/>
        <v/>
      </c>
      <c r="BE22" s="10" t="str">
        <f t="shared" si="31"/>
        <v/>
      </c>
      <c r="BF22" s="10" t="str">
        <f t="shared" si="31"/>
        <v/>
      </c>
      <c r="BG22" s="10" t="str">
        <f t="shared" si="31"/>
        <v/>
      </c>
      <c r="BH22" s="10" t="str">
        <f t="shared" si="31"/>
        <v/>
      </c>
      <c r="BI22" s="10" t="str">
        <f t="shared" si="31"/>
        <v/>
      </c>
      <c r="BJ22" s="10" t="str">
        <f t="shared" si="31"/>
        <v/>
      </c>
      <c r="BK22" s="10" t="str">
        <f t="shared" si="31"/>
        <v/>
      </c>
      <c r="BL22" s="10" t="str">
        <f t="shared" si="31"/>
        <v/>
      </c>
      <c r="BM22" s="10" t="str">
        <f t="shared" si="31"/>
        <v/>
      </c>
      <c r="BN22" s="10" t="str">
        <f t="shared" si="31"/>
        <v/>
      </c>
      <c r="BO22" s="10" t="str">
        <f t="shared" si="31"/>
        <v/>
      </c>
      <c r="BP22" s="10" t="str">
        <f t="shared" si="31"/>
        <v/>
      </c>
      <c r="BQ22" s="10" t="str">
        <f t="shared" si="31"/>
        <v/>
      </c>
      <c r="BR22" s="10" t="str">
        <f t="shared" si="31"/>
        <v/>
      </c>
      <c r="BS22" s="10" t="str">
        <f t="shared" si="31"/>
        <v/>
      </c>
      <c r="BT22" s="10" t="str">
        <f t="shared" si="31"/>
        <v/>
      </c>
      <c r="BU22" s="10" t="str">
        <f t="shared" si="31"/>
        <v/>
      </c>
      <c r="BV22" s="10" t="str">
        <f t="shared" si="31"/>
        <v/>
      </c>
      <c r="BW22" s="10" t="str">
        <f t="shared" si="31"/>
        <v/>
      </c>
      <c r="BX22" s="10" t="str">
        <f t="shared" si="31"/>
        <v/>
      </c>
      <c r="BY22" s="10" t="str">
        <f t="shared" si="31"/>
        <v/>
      </c>
      <c r="BZ22" s="10" t="str">
        <f t="shared" si="31"/>
        <v/>
      </c>
      <c r="CA22" s="10" t="str">
        <f t="shared" si="31"/>
        <v/>
      </c>
      <c r="CB22" s="10" t="str">
        <f t="shared" si="31"/>
        <v/>
      </c>
      <c r="CC22" s="10" t="str">
        <f t="shared" si="31"/>
        <v/>
      </c>
      <c r="CD22" s="10" t="str">
        <f t="shared" si="31"/>
        <v/>
      </c>
      <c r="CE22" s="10" t="str">
        <f t="shared" si="31"/>
        <v/>
      </c>
      <c r="CF22" s="10" t="str">
        <f t="shared" si="31"/>
        <v/>
      </c>
      <c r="CG22" s="10" t="str">
        <f t="shared" si="31"/>
        <v/>
      </c>
      <c r="CH22" s="10" t="str">
        <f t="shared" si="31"/>
        <v/>
      </c>
      <c r="CI22" s="10" t="str">
        <f t="shared" si="31"/>
        <v/>
      </c>
      <c r="CJ22" s="10" t="str">
        <f t="shared" si="31"/>
        <v/>
      </c>
      <c r="CK22" s="10" t="str">
        <f t="shared" si="31"/>
        <v/>
      </c>
      <c r="CL22" s="10" t="str">
        <f t="shared" si="31"/>
        <v/>
      </c>
      <c r="CM22" s="10" t="str">
        <f t="shared" si="31"/>
        <v/>
      </c>
      <c r="CN22" s="10" t="str">
        <f t="shared" si="31"/>
        <v/>
      </c>
      <c r="CO22" s="10" t="str">
        <f t="shared" si="31"/>
        <v/>
      </c>
      <c r="CP22" s="10" t="str">
        <f t="shared" si="31"/>
        <v/>
      </c>
      <c r="CQ22" s="10" t="str">
        <f t="shared" si="31"/>
        <v/>
      </c>
      <c r="CR22" s="10" t="str">
        <f t="shared" si="31"/>
        <v/>
      </c>
      <c r="CS22" s="10" t="str">
        <f t="shared" si="31"/>
        <v/>
      </c>
      <c r="CT22" s="10" t="str">
        <f t="shared" si="31"/>
        <v/>
      </c>
      <c r="CU22" s="10" t="str">
        <f t="shared" si="31"/>
        <v/>
      </c>
      <c r="CV22" s="10" t="str">
        <f t="shared" si="31"/>
        <v/>
      </c>
      <c r="CW22" s="10" t="str">
        <f t="shared" si="31"/>
        <v/>
      </c>
      <c r="CX22" s="10" t="str">
        <f t="shared" si="31"/>
        <v/>
      </c>
      <c r="CY22" s="10" t="str">
        <f t="shared" si="31"/>
        <v/>
      </c>
      <c r="CZ22" s="10" t="str">
        <f t="shared" si="31"/>
        <v/>
      </c>
      <c r="DA22" s="10" t="str">
        <f t="shared" si="31"/>
        <v/>
      </c>
      <c r="DB22" s="10" t="str">
        <f t="shared" si="31"/>
        <v/>
      </c>
      <c r="DC22" s="10" t="str">
        <f t="shared" si="31"/>
        <v/>
      </c>
      <c r="DD22" s="10" t="str">
        <f t="shared" si="31"/>
        <v/>
      </c>
      <c r="DE22" s="10" t="str">
        <f t="shared" si="31"/>
        <v/>
      </c>
      <c r="DF22" s="10" t="str">
        <f t="shared" si="31"/>
        <v/>
      </c>
      <c r="DG22" s="10" t="str">
        <f t="shared" si="31"/>
        <v/>
      </c>
      <c r="DH22" s="10" t="str">
        <f t="shared" si="31"/>
        <v/>
      </c>
      <c r="DI22" s="10" t="str">
        <f t="shared" si="31"/>
        <v/>
      </c>
      <c r="DJ22" s="10" t="str">
        <f t="shared" si="31"/>
        <v/>
      </c>
    </row>
    <row r="23" spans="1:114" ht="15.75" customHeight="1">
      <c r="A23" s="1">
        <f>Gerenciamento!D23</f>
        <v>0</v>
      </c>
      <c r="B23" s="1" t="e">
        <f t="shared" si="2"/>
        <v>#VALUE!</v>
      </c>
      <c r="C23" s="2" t="e">
        <f t="shared" si="6"/>
        <v>#VALUE!</v>
      </c>
      <c r="D23" s="2" t="e">
        <f t="shared" si="7"/>
        <v>#VALUE!</v>
      </c>
      <c r="E23" s="2" t="e">
        <f t="shared" si="8"/>
        <v>#VALUE!</v>
      </c>
      <c r="F23" s="2" t="e">
        <f t="shared" si="9"/>
        <v>#VALUE!</v>
      </c>
      <c r="G23" s="5" t="e">
        <f t="shared" si="15"/>
        <v>#VALUE!</v>
      </c>
      <c r="H23" s="1" t="e">
        <f t="shared" si="10"/>
        <v>#VALUE!</v>
      </c>
      <c r="I23" s="1" t="e">
        <f t="shared" si="12"/>
        <v>#VALUE!</v>
      </c>
      <c r="J23" s="6" t="e">
        <f t="shared" si="3"/>
        <v>#VALUE!</v>
      </c>
      <c r="M23" s="9" t="b">
        <f t="shared" si="4"/>
        <v>0</v>
      </c>
      <c r="N23" s="10" t="e">
        <f t="shared" ref="N23:DJ23" si="32">IF(N$1&gt;$L$2,"",IF(N$1=$L$2,1,IF($L$2-N$1=$L$1-$M23,$L$3^($L$1-$M23),($L$3*N24*O24/(N24+($L$3-1)*O24)))))</f>
        <v>#DIV/0!</v>
      </c>
      <c r="O23" s="10" t="e">
        <f t="shared" si="32"/>
        <v>#DIV/0!</v>
      </c>
      <c r="P23" s="10">
        <f t="shared" si="32"/>
        <v>1</v>
      </c>
      <c r="Q23" s="10" t="str">
        <f t="shared" si="32"/>
        <v/>
      </c>
      <c r="R23" s="10" t="str">
        <f t="shared" si="32"/>
        <v/>
      </c>
      <c r="S23" s="10" t="str">
        <f t="shared" si="32"/>
        <v/>
      </c>
      <c r="T23" s="10" t="str">
        <f t="shared" si="32"/>
        <v/>
      </c>
      <c r="U23" s="10" t="str">
        <f t="shared" si="32"/>
        <v/>
      </c>
      <c r="V23" s="10" t="str">
        <f t="shared" si="32"/>
        <v/>
      </c>
      <c r="W23" s="10" t="str">
        <f t="shared" si="32"/>
        <v/>
      </c>
      <c r="X23" s="10" t="str">
        <f t="shared" si="32"/>
        <v/>
      </c>
      <c r="Y23" s="10" t="str">
        <f t="shared" si="32"/>
        <v/>
      </c>
      <c r="Z23" s="10" t="str">
        <f t="shared" si="32"/>
        <v/>
      </c>
      <c r="AA23" s="10" t="str">
        <f t="shared" si="32"/>
        <v/>
      </c>
      <c r="AB23" s="10" t="str">
        <f t="shared" si="32"/>
        <v/>
      </c>
      <c r="AC23" s="10" t="str">
        <f t="shared" si="32"/>
        <v/>
      </c>
      <c r="AD23" s="10" t="str">
        <f t="shared" si="32"/>
        <v/>
      </c>
      <c r="AE23" s="10" t="str">
        <f t="shared" si="32"/>
        <v/>
      </c>
      <c r="AF23" s="10" t="str">
        <f t="shared" si="32"/>
        <v/>
      </c>
      <c r="AG23" s="10" t="str">
        <f t="shared" si="32"/>
        <v/>
      </c>
      <c r="AH23" s="10" t="str">
        <f t="shared" si="32"/>
        <v/>
      </c>
      <c r="AI23" s="10" t="str">
        <f t="shared" si="32"/>
        <v/>
      </c>
      <c r="AJ23" s="10" t="str">
        <f t="shared" si="32"/>
        <v/>
      </c>
      <c r="AK23" s="10" t="str">
        <f t="shared" si="32"/>
        <v/>
      </c>
      <c r="AL23" s="10" t="str">
        <f t="shared" si="32"/>
        <v/>
      </c>
      <c r="AM23" s="10" t="str">
        <f t="shared" si="32"/>
        <v/>
      </c>
      <c r="AN23" s="10" t="str">
        <f t="shared" si="32"/>
        <v/>
      </c>
      <c r="AO23" s="10" t="str">
        <f t="shared" si="32"/>
        <v/>
      </c>
      <c r="AP23" s="10" t="str">
        <f t="shared" si="32"/>
        <v/>
      </c>
      <c r="AQ23" s="10" t="str">
        <f t="shared" si="32"/>
        <v/>
      </c>
      <c r="AR23" s="10" t="str">
        <f t="shared" si="32"/>
        <v/>
      </c>
      <c r="AS23" s="10" t="str">
        <f t="shared" si="32"/>
        <v/>
      </c>
      <c r="AT23" s="10" t="str">
        <f t="shared" si="32"/>
        <v/>
      </c>
      <c r="AU23" s="10" t="str">
        <f t="shared" si="32"/>
        <v/>
      </c>
      <c r="AV23" s="10" t="str">
        <f t="shared" si="32"/>
        <v/>
      </c>
      <c r="AW23" s="10" t="str">
        <f t="shared" si="32"/>
        <v/>
      </c>
      <c r="AX23" s="10" t="str">
        <f t="shared" si="32"/>
        <v/>
      </c>
      <c r="AY23" s="10" t="str">
        <f t="shared" si="32"/>
        <v/>
      </c>
      <c r="AZ23" s="10" t="str">
        <f t="shared" si="32"/>
        <v/>
      </c>
      <c r="BA23" s="10" t="str">
        <f t="shared" si="32"/>
        <v/>
      </c>
      <c r="BB23" s="10" t="str">
        <f t="shared" si="32"/>
        <v/>
      </c>
      <c r="BC23" s="10" t="str">
        <f t="shared" si="32"/>
        <v/>
      </c>
      <c r="BD23" s="10" t="str">
        <f t="shared" si="32"/>
        <v/>
      </c>
      <c r="BE23" s="10" t="str">
        <f t="shared" si="32"/>
        <v/>
      </c>
      <c r="BF23" s="10" t="str">
        <f t="shared" si="32"/>
        <v/>
      </c>
      <c r="BG23" s="10" t="str">
        <f t="shared" si="32"/>
        <v/>
      </c>
      <c r="BH23" s="10" t="str">
        <f t="shared" si="32"/>
        <v/>
      </c>
      <c r="BI23" s="10" t="str">
        <f t="shared" si="32"/>
        <v/>
      </c>
      <c r="BJ23" s="10" t="str">
        <f t="shared" si="32"/>
        <v/>
      </c>
      <c r="BK23" s="10" t="str">
        <f t="shared" si="32"/>
        <v/>
      </c>
      <c r="BL23" s="10" t="str">
        <f t="shared" si="32"/>
        <v/>
      </c>
      <c r="BM23" s="10" t="str">
        <f t="shared" si="32"/>
        <v/>
      </c>
      <c r="BN23" s="10" t="str">
        <f t="shared" si="32"/>
        <v/>
      </c>
      <c r="BO23" s="10" t="str">
        <f t="shared" si="32"/>
        <v/>
      </c>
      <c r="BP23" s="10" t="str">
        <f t="shared" si="32"/>
        <v/>
      </c>
      <c r="BQ23" s="10" t="str">
        <f t="shared" si="32"/>
        <v/>
      </c>
      <c r="BR23" s="10" t="str">
        <f t="shared" si="32"/>
        <v/>
      </c>
      <c r="BS23" s="10" t="str">
        <f t="shared" si="32"/>
        <v/>
      </c>
      <c r="BT23" s="10" t="str">
        <f t="shared" si="32"/>
        <v/>
      </c>
      <c r="BU23" s="10" t="str">
        <f t="shared" si="32"/>
        <v/>
      </c>
      <c r="BV23" s="10" t="str">
        <f t="shared" si="32"/>
        <v/>
      </c>
      <c r="BW23" s="10" t="str">
        <f t="shared" si="32"/>
        <v/>
      </c>
      <c r="BX23" s="10" t="str">
        <f t="shared" si="32"/>
        <v/>
      </c>
      <c r="BY23" s="10" t="str">
        <f t="shared" si="32"/>
        <v/>
      </c>
      <c r="BZ23" s="10" t="str">
        <f t="shared" si="32"/>
        <v/>
      </c>
      <c r="CA23" s="10" t="str">
        <f t="shared" si="32"/>
        <v/>
      </c>
      <c r="CB23" s="10" t="str">
        <f t="shared" si="32"/>
        <v/>
      </c>
      <c r="CC23" s="10" t="str">
        <f t="shared" si="32"/>
        <v/>
      </c>
      <c r="CD23" s="10" t="str">
        <f t="shared" si="32"/>
        <v/>
      </c>
      <c r="CE23" s="10" t="str">
        <f t="shared" si="32"/>
        <v/>
      </c>
      <c r="CF23" s="10" t="str">
        <f t="shared" si="32"/>
        <v/>
      </c>
      <c r="CG23" s="10" t="str">
        <f t="shared" si="32"/>
        <v/>
      </c>
      <c r="CH23" s="10" t="str">
        <f t="shared" si="32"/>
        <v/>
      </c>
      <c r="CI23" s="10" t="str">
        <f t="shared" si="32"/>
        <v/>
      </c>
      <c r="CJ23" s="10" t="str">
        <f t="shared" si="32"/>
        <v/>
      </c>
      <c r="CK23" s="10" t="str">
        <f t="shared" si="32"/>
        <v/>
      </c>
      <c r="CL23" s="10" t="str">
        <f t="shared" si="32"/>
        <v/>
      </c>
      <c r="CM23" s="10" t="str">
        <f t="shared" si="32"/>
        <v/>
      </c>
      <c r="CN23" s="10" t="str">
        <f t="shared" si="32"/>
        <v/>
      </c>
      <c r="CO23" s="10" t="str">
        <f t="shared" si="32"/>
        <v/>
      </c>
      <c r="CP23" s="10" t="str">
        <f t="shared" si="32"/>
        <v/>
      </c>
      <c r="CQ23" s="10" t="str">
        <f t="shared" si="32"/>
        <v/>
      </c>
      <c r="CR23" s="10" t="str">
        <f t="shared" si="32"/>
        <v/>
      </c>
      <c r="CS23" s="10" t="str">
        <f t="shared" si="32"/>
        <v/>
      </c>
      <c r="CT23" s="10" t="str">
        <f t="shared" si="32"/>
        <v/>
      </c>
      <c r="CU23" s="10" t="str">
        <f t="shared" si="32"/>
        <v/>
      </c>
      <c r="CV23" s="10" t="str">
        <f t="shared" si="32"/>
        <v/>
      </c>
      <c r="CW23" s="10" t="str">
        <f t="shared" si="32"/>
        <v/>
      </c>
      <c r="CX23" s="10" t="str">
        <f t="shared" si="32"/>
        <v/>
      </c>
      <c r="CY23" s="10" t="str">
        <f t="shared" si="32"/>
        <v/>
      </c>
      <c r="CZ23" s="10" t="str">
        <f t="shared" si="32"/>
        <v/>
      </c>
      <c r="DA23" s="10" t="str">
        <f t="shared" si="32"/>
        <v/>
      </c>
      <c r="DB23" s="10" t="str">
        <f t="shared" si="32"/>
        <v/>
      </c>
      <c r="DC23" s="10" t="str">
        <f t="shared" si="32"/>
        <v/>
      </c>
      <c r="DD23" s="10" t="str">
        <f t="shared" si="32"/>
        <v/>
      </c>
      <c r="DE23" s="10" t="str">
        <f t="shared" si="32"/>
        <v/>
      </c>
      <c r="DF23" s="10" t="str">
        <f t="shared" si="32"/>
        <v/>
      </c>
      <c r="DG23" s="10" t="str">
        <f t="shared" si="32"/>
        <v/>
      </c>
      <c r="DH23" s="10" t="str">
        <f t="shared" si="32"/>
        <v/>
      </c>
      <c r="DI23" s="10" t="str">
        <f t="shared" si="32"/>
        <v/>
      </c>
      <c r="DJ23" s="10" t="str">
        <f t="shared" si="32"/>
        <v/>
      </c>
    </row>
    <row r="24" spans="1:114" ht="15.75" customHeight="1">
      <c r="A24" s="1">
        <f>Gerenciamento!D24</f>
        <v>0</v>
      </c>
      <c r="B24" s="1" t="e">
        <f t="shared" si="2"/>
        <v>#VALUE!</v>
      </c>
      <c r="C24" s="2" t="e">
        <f t="shared" si="6"/>
        <v>#VALUE!</v>
      </c>
      <c r="D24" s="2" t="e">
        <f t="shared" si="7"/>
        <v>#VALUE!</v>
      </c>
      <c r="E24" s="2" t="e">
        <f t="shared" si="8"/>
        <v>#VALUE!</v>
      </c>
      <c r="F24" s="2" t="e">
        <f t="shared" si="9"/>
        <v>#VALUE!</v>
      </c>
      <c r="G24" s="5" t="e">
        <f t="shared" si="15"/>
        <v>#VALUE!</v>
      </c>
      <c r="H24" s="1" t="e">
        <f t="shared" si="10"/>
        <v>#VALUE!</v>
      </c>
      <c r="I24" s="1" t="e">
        <f t="shared" si="12"/>
        <v>#VALUE!</v>
      </c>
      <c r="J24" s="6" t="e">
        <f t="shared" si="3"/>
        <v>#VALUE!</v>
      </c>
      <c r="M24" s="9" t="b">
        <f t="shared" si="4"/>
        <v>0</v>
      </c>
      <c r="N24" s="10" t="e">
        <f t="shared" ref="N24:DJ24" si="33">IF(N$1&gt;$L$2,"",IF(N$1=$L$2,1,IF($L$2-N$1=$L$1-$M24,$L$3^($L$1-$M24),($L$3*N25*O25/(N25+($L$3-1)*O25)))))</f>
        <v>#DIV/0!</v>
      </c>
      <c r="O24" s="10" t="e">
        <f t="shared" si="33"/>
        <v>#DIV/0!</v>
      </c>
      <c r="P24" s="10">
        <f t="shared" si="33"/>
        <v>1</v>
      </c>
      <c r="Q24" s="10" t="str">
        <f t="shared" si="33"/>
        <v/>
      </c>
      <c r="R24" s="10" t="str">
        <f t="shared" si="33"/>
        <v/>
      </c>
      <c r="S24" s="10" t="str">
        <f t="shared" si="33"/>
        <v/>
      </c>
      <c r="T24" s="10" t="str">
        <f t="shared" si="33"/>
        <v/>
      </c>
      <c r="U24" s="10" t="str">
        <f t="shared" si="33"/>
        <v/>
      </c>
      <c r="V24" s="10" t="str">
        <f t="shared" si="33"/>
        <v/>
      </c>
      <c r="W24" s="10" t="str">
        <f t="shared" si="33"/>
        <v/>
      </c>
      <c r="X24" s="10" t="str">
        <f t="shared" si="33"/>
        <v/>
      </c>
      <c r="Y24" s="10" t="str">
        <f t="shared" si="33"/>
        <v/>
      </c>
      <c r="Z24" s="10" t="str">
        <f t="shared" si="33"/>
        <v/>
      </c>
      <c r="AA24" s="10" t="str">
        <f t="shared" si="33"/>
        <v/>
      </c>
      <c r="AB24" s="10" t="str">
        <f t="shared" si="33"/>
        <v/>
      </c>
      <c r="AC24" s="10" t="str">
        <f t="shared" si="33"/>
        <v/>
      </c>
      <c r="AD24" s="10" t="str">
        <f t="shared" si="33"/>
        <v/>
      </c>
      <c r="AE24" s="10" t="str">
        <f t="shared" si="33"/>
        <v/>
      </c>
      <c r="AF24" s="10" t="str">
        <f t="shared" si="33"/>
        <v/>
      </c>
      <c r="AG24" s="10" t="str">
        <f t="shared" si="33"/>
        <v/>
      </c>
      <c r="AH24" s="10" t="str">
        <f t="shared" si="33"/>
        <v/>
      </c>
      <c r="AI24" s="10" t="str">
        <f t="shared" si="33"/>
        <v/>
      </c>
      <c r="AJ24" s="10" t="str">
        <f t="shared" si="33"/>
        <v/>
      </c>
      <c r="AK24" s="10" t="str">
        <f t="shared" si="33"/>
        <v/>
      </c>
      <c r="AL24" s="10" t="str">
        <f t="shared" si="33"/>
        <v/>
      </c>
      <c r="AM24" s="10" t="str">
        <f t="shared" si="33"/>
        <v/>
      </c>
      <c r="AN24" s="10" t="str">
        <f t="shared" si="33"/>
        <v/>
      </c>
      <c r="AO24" s="10" t="str">
        <f t="shared" si="33"/>
        <v/>
      </c>
      <c r="AP24" s="10" t="str">
        <f t="shared" si="33"/>
        <v/>
      </c>
      <c r="AQ24" s="10" t="str">
        <f t="shared" si="33"/>
        <v/>
      </c>
      <c r="AR24" s="10" t="str">
        <f t="shared" si="33"/>
        <v/>
      </c>
      <c r="AS24" s="10" t="str">
        <f t="shared" si="33"/>
        <v/>
      </c>
      <c r="AT24" s="10" t="str">
        <f t="shared" si="33"/>
        <v/>
      </c>
      <c r="AU24" s="10" t="str">
        <f t="shared" si="33"/>
        <v/>
      </c>
      <c r="AV24" s="10" t="str">
        <f t="shared" si="33"/>
        <v/>
      </c>
      <c r="AW24" s="10" t="str">
        <f t="shared" si="33"/>
        <v/>
      </c>
      <c r="AX24" s="10" t="str">
        <f t="shared" si="33"/>
        <v/>
      </c>
      <c r="AY24" s="10" t="str">
        <f t="shared" si="33"/>
        <v/>
      </c>
      <c r="AZ24" s="10" t="str">
        <f t="shared" si="33"/>
        <v/>
      </c>
      <c r="BA24" s="10" t="str">
        <f t="shared" si="33"/>
        <v/>
      </c>
      <c r="BB24" s="10" t="str">
        <f t="shared" si="33"/>
        <v/>
      </c>
      <c r="BC24" s="10" t="str">
        <f t="shared" si="33"/>
        <v/>
      </c>
      <c r="BD24" s="10" t="str">
        <f t="shared" si="33"/>
        <v/>
      </c>
      <c r="BE24" s="10" t="str">
        <f t="shared" si="33"/>
        <v/>
      </c>
      <c r="BF24" s="10" t="str">
        <f t="shared" si="33"/>
        <v/>
      </c>
      <c r="BG24" s="10" t="str">
        <f t="shared" si="33"/>
        <v/>
      </c>
      <c r="BH24" s="10" t="str">
        <f t="shared" si="33"/>
        <v/>
      </c>
      <c r="BI24" s="10" t="str">
        <f t="shared" si="33"/>
        <v/>
      </c>
      <c r="BJ24" s="10" t="str">
        <f t="shared" si="33"/>
        <v/>
      </c>
      <c r="BK24" s="10" t="str">
        <f t="shared" si="33"/>
        <v/>
      </c>
      <c r="BL24" s="10" t="str">
        <f t="shared" si="33"/>
        <v/>
      </c>
      <c r="BM24" s="10" t="str">
        <f t="shared" si="33"/>
        <v/>
      </c>
      <c r="BN24" s="10" t="str">
        <f t="shared" si="33"/>
        <v/>
      </c>
      <c r="BO24" s="10" t="str">
        <f t="shared" si="33"/>
        <v/>
      </c>
      <c r="BP24" s="10" t="str">
        <f t="shared" si="33"/>
        <v/>
      </c>
      <c r="BQ24" s="10" t="str">
        <f t="shared" si="33"/>
        <v/>
      </c>
      <c r="BR24" s="10" t="str">
        <f t="shared" si="33"/>
        <v/>
      </c>
      <c r="BS24" s="10" t="str">
        <f t="shared" si="33"/>
        <v/>
      </c>
      <c r="BT24" s="10" t="str">
        <f t="shared" si="33"/>
        <v/>
      </c>
      <c r="BU24" s="10" t="str">
        <f t="shared" si="33"/>
        <v/>
      </c>
      <c r="BV24" s="10" t="str">
        <f t="shared" si="33"/>
        <v/>
      </c>
      <c r="BW24" s="10" t="str">
        <f t="shared" si="33"/>
        <v/>
      </c>
      <c r="BX24" s="10" t="str">
        <f t="shared" si="33"/>
        <v/>
      </c>
      <c r="BY24" s="10" t="str">
        <f t="shared" si="33"/>
        <v/>
      </c>
      <c r="BZ24" s="10" t="str">
        <f t="shared" si="33"/>
        <v/>
      </c>
      <c r="CA24" s="10" t="str">
        <f t="shared" si="33"/>
        <v/>
      </c>
      <c r="CB24" s="10" t="str">
        <f t="shared" si="33"/>
        <v/>
      </c>
      <c r="CC24" s="10" t="str">
        <f t="shared" si="33"/>
        <v/>
      </c>
      <c r="CD24" s="10" t="str">
        <f t="shared" si="33"/>
        <v/>
      </c>
      <c r="CE24" s="10" t="str">
        <f t="shared" si="33"/>
        <v/>
      </c>
      <c r="CF24" s="10" t="str">
        <f t="shared" si="33"/>
        <v/>
      </c>
      <c r="CG24" s="10" t="str">
        <f t="shared" si="33"/>
        <v/>
      </c>
      <c r="CH24" s="10" t="str">
        <f t="shared" si="33"/>
        <v/>
      </c>
      <c r="CI24" s="10" t="str">
        <f t="shared" si="33"/>
        <v/>
      </c>
      <c r="CJ24" s="10" t="str">
        <f t="shared" si="33"/>
        <v/>
      </c>
      <c r="CK24" s="10" t="str">
        <f t="shared" si="33"/>
        <v/>
      </c>
      <c r="CL24" s="10" t="str">
        <f t="shared" si="33"/>
        <v/>
      </c>
      <c r="CM24" s="10" t="str">
        <f t="shared" si="33"/>
        <v/>
      </c>
      <c r="CN24" s="10" t="str">
        <f t="shared" si="33"/>
        <v/>
      </c>
      <c r="CO24" s="10" t="str">
        <f t="shared" si="33"/>
        <v/>
      </c>
      <c r="CP24" s="10" t="str">
        <f t="shared" si="33"/>
        <v/>
      </c>
      <c r="CQ24" s="10" t="str">
        <f t="shared" si="33"/>
        <v/>
      </c>
      <c r="CR24" s="10" t="str">
        <f t="shared" si="33"/>
        <v/>
      </c>
      <c r="CS24" s="10" t="str">
        <f t="shared" si="33"/>
        <v/>
      </c>
      <c r="CT24" s="10" t="str">
        <f t="shared" si="33"/>
        <v/>
      </c>
      <c r="CU24" s="10" t="str">
        <f t="shared" si="33"/>
        <v/>
      </c>
      <c r="CV24" s="10" t="str">
        <f t="shared" si="33"/>
        <v/>
      </c>
      <c r="CW24" s="10" t="str">
        <f t="shared" si="33"/>
        <v/>
      </c>
      <c r="CX24" s="10" t="str">
        <f t="shared" si="33"/>
        <v/>
      </c>
      <c r="CY24" s="10" t="str">
        <f t="shared" si="33"/>
        <v/>
      </c>
      <c r="CZ24" s="10" t="str">
        <f t="shared" si="33"/>
        <v/>
      </c>
      <c r="DA24" s="10" t="str">
        <f t="shared" si="33"/>
        <v/>
      </c>
      <c r="DB24" s="10" t="str">
        <f t="shared" si="33"/>
        <v/>
      </c>
      <c r="DC24" s="10" t="str">
        <f t="shared" si="33"/>
        <v/>
      </c>
      <c r="DD24" s="10" t="str">
        <f t="shared" si="33"/>
        <v/>
      </c>
      <c r="DE24" s="10" t="str">
        <f t="shared" si="33"/>
        <v/>
      </c>
      <c r="DF24" s="10" t="str">
        <f t="shared" si="33"/>
        <v/>
      </c>
      <c r="DG24" s="10" t="str">
        <f t="shared" si="33"/>
        <v/>
      </c>
      <c r="DH24" s="10" t="str">
        <f t="shared" si="33"/>
        <v/>
      </c>
      <c r="DI24" s="10" t="str">
        <f t="shared" si="33"/>
        <v/>
      </c>
      <c r="DJ24" s="10" t="str">
        <f t="shared" si="33"/>
        <v/>
      </c>
    </row>
    <row r="25" spans="1:114" ht="15.75" customHeight="1">
      <c r="A25" s="1">
        <f>Gerenciamento!D25</f>
        <v>0</v>
      </c>
      <c r="B25" s="1" t="e">
        <f t="shared" si="2"/>
        <v>#VALUE!</v>
      </c>
      <c r="C25" s="2" t="e">
        <f t="shared" si="6"/>
        <v>#VALUE!</v>
      </c>
      <c r="D25" s="2" t="e">
        <f t="shared" si="7"/>
        <v>#VALUE!</v>
      </c>
      <c r="E25" s="2" t="e">
        <f t="shared" si="8"/>
        <v>#VALUE!</v>
      </c>
      <c r="F25" s="2" t="e">
        <f t="shared" si="9"/>
        <v>#VALUE!</v>
      </c>
      <c r="G25" s="5" t="e">
        <f t="shared" si="15"/>
        <v>#VALUE!</v>
      </c>
      <c r="H25" s="1" t="e">
        <f t="shared" si="10"/>
        <v>#VALUE!</v>
      </c>
      <c r="I25" s="1" t="e">
        <f t="shared" si="12"/>
        <v>#VALUE!</v>
      </c>
      <c r="J25" s="6" t="e">
        <f t="shared" si="3"/>
        <v>#VALUE!</v>
      </c>
      <c r="M25" s="9" t="b">
        <f t="shared" si="4"/>
        <v>0</v>
      </c>
      <c r="N25" s="10" t="e">
        <f t="shared" ref="N25:DJ25" si="34">IF(N$1&gt;$L$2,"",IF(N$1=$L$2,1,IF($L$2-N$1=$L$1-$M25,$L$3^($L$1-$M25),($L$3*N26*O26/(N26+($L$3-1)*O26)))))</f>
        <v>#DIV/0!</v>
      </c>
      <c r="O25" s="10" t="e">
        <f t="shared" si="34"/>
        <v>#DIV/0!</v>
      </c>
      <c r="P25" s="10">
        <f t="shared" si="34"/>
        <v>1</v>
      </c>
      <c r="Q25" s="10" t="str">
        <f t="shared" si="34"/>
        <v/>
      </c>
      <c r="R25" s="10" t="str">
        <f t="shared" si="34"/>
        <v/>
      </c>
      <c r="S25" s="10" t="str">
        <f t="shared" si="34"/>
        <v/>
      </c>
      <c r="T25" s="10" t="str">
        <f t="shared" si="34"/>
        <v/>
      </c>
      <c r="U25" s="10" t="str">
        <f t="shared" si="34"/>
        <v/>
      </c>
      <c r="V25" s="10" t="str">
        <f t="shared" si="34"/>
        <v/>
      </c>
      <c r="W25" s="10" t="str">
        <f t="shared" si="34"/>
        <v/>
      </c>
      <c r="X25" s="10" t="str">
        <f t="shared" si="34"/>
        <v/>
      </c>
      <c r="Y25" s="10" t="str">
        <f t="shared" si="34"/>
        <v/>
      </c>
      <c r="Z25" s="10" t="str">
        <f t="shared" si="34"/>
        <v/>
      </c>
      <c r="AA25" s="10" t="str">
        <f t="shared" si="34"/>
        <v/>
      </c>
      <c r="AB25" s="10" t="str">
        <f t="shared" si="34"/>
        <v/>
      </c>
      <c r="AC25" s="10" t="str">
        <f t="shared" si="34"/>
        <v/>
      </c>
      <c r="AD25" s="10" t="str">
        <f t="shared" si="34"/>
        <v/>
      </c>
      <c r="AE25" s="10" t="str">
        <f t="shared" si="34"/>
        <v/>
      </c>
      <c r="AF25" s="10" t="str">
        <f t="shared" si="34"/>
        <v/>
      </c>
      <c r="AG25" s="10" t="str">
        <f t="shared" si="34"/>
        <v/>
      </c>
      <c r="AH25" s="10" t="str">
        <f t="shared" si="34"/>
        <v/>
      </c>
      <c r="AI25" s="10" t="str">
        <f t="shared" si="34"/>
        <v/>
      </c>
      <c r="AJ25" s="10" t="str">
        <f t="shared" si="34"/>
        <v/>
      </c>
      <c r="AK25" s="10" t="str">
        <f t="shared" si="34"/>
        <v/>
      </c>
      <c r="AL25" s="10" t="str">
        <f t="shared" si="34"/>
        <v/>
      </c>
      <c r="AM25" s="10" t="str">
        <f t="shared" si="34"/>
        <v/>
      </c>
      <c r="AN25" s="10" t="str">
        <f t="shared" si="34"/>
        <v/>
      </c>
      <c r="AO25" s="10" t="str">
        <f t="shared" si="34"/>
        <v/>
      </c>
      <c r="AP25" s="10" t="str">
        <f t="shared" si="34"/>
        <v/>
      </c>
      <c r="AQ25" s="10" t="str">
        <f t="shared" si="34"/>
        <v/>
      </c>
      <c r="AR25" s="10" t="str">
        <f t="shared" si="34"/>
        <v/>
      </c>
      <c r="AS25" s="10" t="str">
        <f t="shared" si="34"/>
        <v/>
      </c>
      <c r="AT25" s="10" t="str">
        <f t="shared" si="34"/>
        <v/>
      </c>
      <c r="AU25" s="10" t="str">
        <f t="shared" si="34"/>
        <v/>
      </c>
      <c r="AV25" s="10" t="str">
        <f t="shared" si="34"/>
        <v/>
      </c>
      <c r="AW25" s="10" t="str">
        <f t="shared" si="34"/>
        <v/>
      </c>
      <c r="AX25" s="10" t="str">
        <f t="shared" si="34"/>
        <v/>
      </c>
      <c r="AY25" s="10" t="str">
        <f t="shared" si="34"/>
        <v/>
      </c>
      <c r="AZ25" s="10" t="str">
        <f t="shared" si="34"/>
        <v/>
      </c>
      <c r="BA25" s="10" t="str">
        <f t="shared" si="34"/>
        <v/>
      </c>
      <c r="BB25" s="10" t="str">
        <f t="shared" si="34"/>
        <v/>
      </c>
      <c r="BC25" s="10" t="str">
        <f t="shared" si="34"/>
        <v/>
      </c>
      <c r="BD25" s="10" t="str">
        <f t="shared" si="34"/>
        <v/>
      </c>
      <c r="BE25" s="10" t="str">
        <f t="shared" si="34"/>
        <v/>
      </c>
      <c r="BF25" s="10" t="str">
        <f t="shared" si="34"/>
        <v/>
      </c>
      <c r="BG25" s="10" t="str">
        <f t="shared" si="34"/>
        <v/>
      </c>
      <c r="BH25" s="10" t="str">
        <f t="shared" si="34"/>
        <v/>
      </c>
      <c r="BI25" s="10" t="str">
        <f t="shared" si="34"/>
        <v/>
      </c>
      <c r="BJ25" s="10" t="str">
        <f t="shared" si="34"/>
        <v/>
      </c>
      <c r="BK25" s="10" t="str">
        <f t="shared" si="34"/>
        <v/>
      </c>
      <c r="BL25" s="10" t="str">
        <f t="shared" si="34"/>
        <v/>
      </c>
      <c r="BM25" s="10" t="str">
        <f t="shared" si="34"/>
        <v/>
      </c>
      <c r="BN25" s="10" t="str">
        <f t="shared" si="34"/>
        <v/>
      </c>
      <c r="BO25" s="10" t="str">
        <f t="shared" si="34"/>
        <v/>
      </c>
      <c r="BP25" s="10" t="str">
        <f t="shared" si="34"/>
        <v/>
      </c>
      <c r="BQ25" s="10" t="str">
        <f t="shared" si="34"/>
        <v/>
      </c>
      <c r="BR25" s="10" t="str">
        <f t="shared" si="34"/>
        <v/>
      </c>
      <c r="BS25" s="10" t="str">
        <f t="shared" si="34"/>
        <v/>
      </c>
      <c r="BT25" s="10" t="str">
        <f t="shared" si="34"/>
        <v/>
      </c>
      <c r="BU25" s="10" t="str">
        <f t="shared" si="34"/>
        <v/>
      </c>
      <c r="BV25" s="10" t="str">
        <f t="shared" si="34"/>
        <v/>
      </c>
      <c r="BW25" s="10" t="str">
        <f t="shared" si="34"/>
        <v/>
      </c>
      <c r="BX25" s="10" t="str">
        <f t="shared" si="34"/>
        <v/>
      </c>
      <c r="BY25" s="10" t="str">
        <f t="shared" si="34"/>
        <v/>
      </c>
      <c r="BZ25" s="10" t="str">
        <f t="shared" si="34"/>
        <v/>
      </c>
      <c r="CA25" s="10" t="str">
        <f t="shared" si="34"/>
        <v/>
      </c>
      <c r="CB25" s="10" t="str">
        <f t="shared" si="34"/>
        <v/>
      </c>
      <c r="CC25" s="10" t="str">
        <f t="shared" si="34"/>
        <v/>
      </c>
      <c r="CD25" s="10" t="str">
        <f t="shared" si="34"/>
        <v/>
      </c>
      <c r="CE25" s="10" t="str">
        <f t="shared" si="34"/>
        <v/>
      </c>
      <c r="CF25" s="10" t="str">
        <f t="shared" si="34"/>
        <v/>
      </c>
      <c r="CG25" s="10" t="str">
        <f t="shared" si="34"/>
        <v/>
      </c>
      <c r="CH25" s="10" t="str">
        <f t="shared" si="34"/>
        <v/>
      </c>
      <c r="CI25" s="10" t="str">
        <f t="shared" si="34"/>
        <v/>
      </c>
      <c r="CJ25" s="10" t="str">
        <f t="shared" si="34"/>
        <v/>
      </c>
      <c r="CK25" s="10" t="str">
        <f t="shared" si="34"/>
        <v/>
      </c>
      <c r="CL25" s="10" t="str">
        <f t="shared" si="34"/>
        <v/>
      </c>
      <c r="CM25" s="10" t="str">
        <f t="shared" si="34"/>
        <v/>
      </c>
      <c r="CN25" s="10" t="str">
        <f t="shared" si="34"/>
        <v/>
      </c>
      <c r="CO25" s="10" t="str">
        <f t="shared" si="34"/>
        <v/>
      </c>
      <c r="CP25" s="10" t="str">
        <f t="shared" si="34"/>
        <v/>
      </c>
      <c r="CQ25" s="10" t="str">
        <f t="shared" si="34"/>
        <v/>
      </c>
      <c r="CR25" s="10" t="str">
        <f t="shared" si="34"/>
        <v/>
      </c>
      <c r="CS25" s="10" t="str">
        <f t="shared" si="34"/>
        <v/>
      </c>
      <c r="CT25" s="10" t="str">
        <f t="shared" si="34"/>
        <v/>
      </c>
      <c r="CU25" s="10" t="str">
        <f t="shared" si="34"/>
        <v/>
      </c>
      <c r="CV25" s="10" t="str">
        <f t="shared" si="34"/>
        <v/>
      </c>
      <c r="CW25" s="10" t="str">
        <f t="shared" si="34"/>
        <v/>
      </c>
      <c r="CX25" s="10" t="str">
        <f t="shared" si="34"/>
        <v/>
      </c>
      <c r="CY25" s="10" t="str">
        <f t="shared" si="34"/>
        <v/>
      </c>
      <c r="CZ25" s="10" t="str">
        <f t="shared" si="34"/>
        <v/>
      </c>
      <c r="DA25" s="10" t="str">
        <f t="shared" si="34"/>
        <v/>
      </c>
      <c r="DB25" s="10" t="str">
        <f t="shared" si="34"/>
        <v/>
      </c>
      <c r="DC25" s="10" t="str">
        <f t="shared" si="34"/>
        <v/>
      </c>
      <c r="DD25" s="10" t="str">
        <f t="shared" si="34"/>
        <v/>
      </c>
      <c r="DE25" s="10" t="str">
        <f t="shared" si="34"/>
        <v/>
      </c>
      <c r="DF25" s="10" t="str">
        <f t="shared" si="34"/>
        <v/>
      </c>
      <c r="DG25" s="10" t="str">
        <f t="shared" si="34"/>
        <v/>
      </c>
      <c r="DH25" s="10" t="str">
        <f t="shared" si="34"/>
        <v/>
      </c>
      <c r="DI25" s="10" t="str">
        <f t="shared" si="34"/>
        <v/>
      </c>
      <c r="DJ25" s="10" t="str">
        <f t="shared" si="34"/>
        <v/>
      </c>
    </row>
    <row r="26" spans="1:114" ht="15.75" customHeight="1">
      <c r="A26" s="1">
        <f>Gerenciamento!D26</f>
        <v>0</v>
      </c>
      <c r="B26" s="1" t="e">
        <f t="shared" si="2"/>
        <v>#VALUE!</v>
      </c>
      <c r="C26" s="2" t="e">
        <f t="shared" si="6"/>
        <v>#VALUE!</v>
      </c>
      <c r="D26" s="2" t="e">
        <f t="shared" si="7"/>
        <v>#VALUE!</v>
      </c>
      <c r="E26" s="2" t="e">
        <f t="shared" si="8"/>
        <v>#VALUE!</v>
      </c>
      <c r="F26" s="2" t="e">
        <f t="shared" si="9"/>
        <v>#VALUE!</v>
      </c>
      <c r="G26" s="5" t="e">
        <f t="shared" si="15"/>
        <v>#VALUE!</v>
      </c>
      <c r="H26" s="1" t="e">
        <f t="shared" si="10"/>
        <v>#VALUE!</v>
      </c>
      <c r="I26" s="1" t="e">
        <f t="shared" si="12"/>
        <v>#VALUE!</v>
      </c>
      <c r="J26" s="6" t="e">
        <f t="shared" si="3"/>
        <v>#VALUE!</v>
      </c>
      <c r="M26" s="9" t="b">
        <f t="shared" si="4"/>
        <v>0</v>
      </c>
      <c r="N26" s="10" t="e">
        <f t="shared" ref="N26:DJ26" si="35">IF(N$1&gt;$L$2,"",IF(N$1=$L$2,1,IF($L$2-N$1=$L$1-$M26,$L$3^($L$1-$M26),($L$3*N27*O27/(N27+($L$3-1)*O27)))))</f>
        <v>#DIV/0!</v>
      </c>
      <c r="O26" s="10" t="e">
        <f t="shared" si="35"/>
        <v>#DIV/0!</v>
      </c>
      <c r="P26" s="10">
        <f t="shared" si="35"/>
        <v>1</v>
      </c>
      <c r="Q26" s="10" t="str">
        <f t="shared" si="35"/>
        <v/>
      </c>
      <c r="R26" s="10" t="str">
        <f t="shared" si="35"/>
        <v/>
      </c>
      <c r="S26" s="10" t="str">
        <f t="shared" si="35"/>
        <v/>
      </c>
      <c r="T26" s="10" t="str">
        <f t="shared" si="35"/>
        <v/>
      </c>
      <c r="U26" s="10" t="str">
        <f t="shared" si="35"/>
        <v/>
      </c>
      <c r="V26" s="10" t="str">
        <f t="shared" si="35"/>
        <v/>
      </c>
      <c r="W26" s="10" t="str">
        <f t="shared" si="35"/>
        <v/>
      </c>
      <c r="X26" s="10" t="str">
        <f t="shared" si="35"/>
        <v/>
      </c>
      <c r="Y26" s="10" t="str">
        <f t="shared" si="35"/>
        <v/>
      </c>
      <c r="Z26" s="10" t="str">
        <f t="shared" si="35"/>
        <v/>
      </c>
      <c r="AA26" s="10" t="str">
        <f t="shared" si="35"/>
        <v/>
      </c>
      <c r="AB26" s="10" t="str">
        <f t="shared" si="35"/>
        <v/>
      </c>
      <c r="AC26" s="10" t="str">
        <f t="shared" si="35"/>
        <v/>
      </c>
      <c r="AD26" s="10" t="str">
        <f t="shared" si="35"/>
        <v/>
      </c>
      <c r="AE26" s="10" t="str">
        <f t="shared" si="35"/>
        <v/>
      </c>
      <c r="AF26" s="10" t="str">
        <f t="shared" si="35"/>
        <v/>
      </c>
      <c r="AG26" s="10" t="str">
        <f t="shared" si="35"/>
        <v/>
      </c>
      <c r="AH26" s="10" t="str">
        <f t="shared" si="35"/>
        <v/>
      </c>
      <c r="AI26" s="10" t="str">
        <f t="shared" si="35"/>
        <v/>
      </c>
      <c r="AJ26" s="10" t="str">
        <f t="shared" si="35"/>
        <v/>
      </c>
      <c r="AK26" s="10" t="str">
        <f t="shared" si="35"/>
        <v/>
      </c>
      <c r="AL26" s="10" t="str">
        <f t="shared" si="35"/>
        <v/>
      </c>
      <c r="AM26" s="10" t="str">
        <f t="shared" si="35"/>
        <v/>
      </c>
      <c r="AN26" s="10" t="str">
        <f t="shared" si="35"/>
        <v/>
      </c>
      <c r="AO26" s="10" t="str">
        <f t="shared" si="35"/>
        <v/>
      </c>
      <c r="AP26" s="10" t="str">
        <f t="shared" si="35"/>
        <v/>
      </c>
      <c r="AQ26" s="10" t="str">
        <f t="shared" si="35"/>
        <v/>
      </c>
      <c r="AR26" s="10" t="str">
        <f t="shared" si="35"/>
        <v/>
      </c>
      <c r="AS26" s="10" t="str">
        <f t="shared" si="35"/>
        <v/>
      </c>
      <c r="AT26" s="10" t="str">
        <f t="shared" si="35"/>
        <v/>
      </c>
      <c r="AU26" s="10" t="str">
        <f t="shared" si="35"/>
        <v/>
      </c>
      <c r="AV26" s="10" t="str">
        <f t="shared" si="35"/>
        <v/>
      </c>
      <c r="AW26" s="10" t="str">
        <f t="shared" si="35"/>
        <v/>
      </c>
      <c r="AX26" s="10" t="str">
        <f t="shared" si="35"/>
        <v/>
      </c>
      <c r="AY26" s="10" t="str">
        <f t="shared" si="35"/>
        <v/>
      </c>
      <c r="AZ26" s="10" t="str">
        <f t="shared" si="35"/>
        <v/>
      </c>
      <c r="BA26" s="10" t="str">
        <f t="shared" si="35"/>
        <v/>
      </c>
      <c r="BB26" s="10" t="str">
        <f t="shared" si="35"/>
        <v/>
      </c>
      <c r="BC26" s="10" t="str">
        <f t="shared" si="35"/>
        <v/>
      </c>
      <c r="BD26" s="10" t="str">
        <f t="shared" si="35"/>
        <v/>
      </c>
      <c r="BE26" s="10" t="str">
        <f t="shared" si="35"/>
        <v/>
      </c>
      <c r="BF26" s="10" t="str">
        <f t="shared" si="35"/>
        <v/>
      </c>
      <c r="BG26" s="10" t="str">
        <f t="shared" si="35"/>
        <v/>
      </c>
      <c r="BH26" s="10" t="str">
        <f t="shared" si="35"/>
        <v/>
      </c>
      <c r="BI26" s="10" t="str">
        <f t="shared" si="35"/>
        <v/>
      </c>
      <c r="BJ26" s="10" t="str">
        <f t="shared" si="35"/>
        <v/>
      </c>
      <c r="BK26" s="10" t="str">
        <f t="shared" si="35"/>
        <v/>
      </c>
      <c r="BL26" s="10" t="str">
        <f t="shared" si="35"/>
        <v/>
      </c>
      <c r="BM26" s="10" t="str">
        <f t="shared" si="35"/>
        <v/>
      </c>
      <c r="BN26" s="10" t="str">
        <f t="shared" si="35"/>
        <v/>
      </c>
      <c r="BO26" s="10" t="str">
        <f t="shared" si="35"/>
        <v/>
      </c>
      <c r="BP26" s="10" t="str">
        <f t="shared" si="35"/>
        <v/>
      </c>
      <c r="BQ26" s="10" t="str">
        <f t="shared" si="35"/>
        <v/>
      </c>
      <c r="BR26" s="10" t="str">
        <f t="shared" si="35"/>
        <v/>
      </c>
      <c r="BS26" s="10" t="str">
        <f t="shared" si="35"/>
        <v/>
      </c>
      <c r="BT26" s="10" t="str">
        <f t="shared" si="35"/>
        <v/>
      </c>
      <c r="BU26" s="10" t="str">
        <f t="shared" si="35"/>
        <v/>
      </c>
      <c r="BV26" s="10" t="str">
        <f t="shared" si="35"/>
        <v/>
      </c>
      <c r="BW26" s="10" t="str">
        <f t="shared" si="35"/>
        <v/>
      </c>
      <c r="BX26" s="10" t="str">
        <f t="shared" si="35"/>
        <v/>
      </c>
      <c r="BY26" s="10" t="str">
        <f t="shared" si="35"/>
        <v/>
      </c>
      <c r="BZ26" s="10" t="str">
        <f t="shared" si="35"/>
        <v/>
      </c>
      <c r="CA26" s="10" t="str">
        <f t="shared" si="35"/>
        <v/>
      </c>
      <c r="CB26" s="10" t="str">
        <f t="shared" si="35"/>
        <v/>
      </c>
      <c r="CC26" s="10" t="str">
        <f t="shared" si="35"/>
        <v/>
      </c>
      <c r="CD26" s="10" t="str">
        <f t="shared" si="35"/>
        <v/>
      </c>
      <c r="CE26" s="10" t="str">
        <f t="shared" si="35"/>
        <v/>
      </c>
      <c r="CF26" s="10" t="str">
        <f t="shared" si="35"/>
        <v/>
      </c>
      <c r="CG26" s="10" t="str">
        <f t="shared" si="35"/>
        <v/>
      </c>
      <c r="CH26" s="10" t="str">
        <f t="shared" si="35"/>
        <v/>
      </c>
      <c r="CI26" s="10" t="str">
        <f t="shared" si="35"/>
        <v/>
      </c>
      <c r="CJ26" s="10" t="str">
        <f t="shared" si="35"/>
        <v/>
      </c>
      <c r="CK26" s="10" t="str">
        <f t="shared" si="35"/>
        <v/>
      </c>
      <c r="CL26" s="10" t="str">
        <f t="shared" si="35"/>
        <v/>
      </c>
      <c r="CM26" s="10" t="str">
        <f t="shared" si="35"/>
        <v/>
      </c>
      <c r="CN26" s="10" t="str">
        <f t="shared" si="35"/>
        <v/>
      </c>
      <c r="CO26" s="10" t="str">
        <f t="shared" si="35"/>
        <v/>
      </c>
      <c r="CP26" s="10" t="str">
        <f t="shared" si="35"/>
        <v/>
      </c>
      <c r="CQ26" s="10" t="str">
        <f t="shared" si="35"/>
        <v/>
      </c>
      <c r="CR26" s="10" t="str">
        <f t="shared" si="35"/>
        <v/>
      </c>
      <c r="CS26" s="10" t="str">
        <f t="shared" si="35"/>
        <v/>
      </c>
      <c r="CT26" s="10" t="str">
        <f t="shared" si="35"/>
        <v/>
      </c>
      <c r="CU26" s="10" t="str">
        <f t="shared" si="35"/>
        <v/>
      </c>
      <c r="CV26" s="10" t="str">
        <f t="shared" si="35"/>
        <v/>
      </c>
      <c r="CW26" s="10" t="str">
        <f t="shared" si="35"/>
        <v/>
      </c>
      <c r="CX26" s="10" t="str">
        <f t="shared" si="35"/>
        <v/>
      </c>
      <c r="CY26" s="10" t="str">
        <f t="shared" si="35"/>
        <v/>
      </c>
      <c r="CZ26" s="10" t="str">
        <f t="shared" si="35"/>
        <v/>
      </c>
      <c r="DA26" s="10" t="str">
        <f t="shared" si="35"/>
        <v/>
      </c>
      <c r="DB26" s="10" t="str">
        <f t="shared" si="35"/>
        <v/>
      </c>
      <c r="DC26" s="10" t="str">
        <f t="shared" si="35"/>
        <v/>
      </c>
      <c r="DD26" s="10" t="str">
        <f t="shared" si="35"/>
        <v/>
      </c>
      <c r="DE26" s="10" t="str">
        <f t="shared" si="35"/>
        <v/>
      </c>
      <c r="DF26" s="10" t="str">
        <f t="shared" si="35"/>
        <v/>
      </c>
      <c r="DG26" s="10" t="str">
        <f t="shared" si="35"/>
        <v/>
      </c>
      <c r="DH26" s="10" t="str">
        <f t="shared" si="35"/>
        <v/>
      </c>
      <c r="DI26" s="10" t="str">
        <f t="shared" si="35"/>
        <v/>
      </c>
      <c r="DJ26" s="10" t="str">
        <f t="shared" si="35"/>
        <v/>
      </c>
    </row>
    <row r="27" spans="1:114" ht="15.75" customHeight="1">
      <c r="A27" s="1">
        <f>Gerenciamento!D27</f>
        <v>0</v>
      </c>
      <c r="B27" s="1" t="e">
        <f t="shared" si="2"/>
        <v>#VALUE!</v>
      </c>
      <c r="C27" s="2" t="e">
        <f t="shared" si="6"/>
        <v>#VALUE!</v>
      </c>
      <c r="D27" s="2" t="e">
        <f t="shared" si="7"/>
        <v>#VALUE!</v>
      </c>
      <c r="E27" s="2" t="e">
        <f t="shared" si="8"/>
        <v>#VALUE!</v>
      </c>
      <c r="F27" s="2" t="e">
        <f t="shared" si="9"/>
        <v>#VALUE!</v>
      </c>
      <c r="G27" s="5" t="e">
        <f t="shared" si="15"/>
        <v>#VALUE!</v>
      </c>
      <c r="H27" s="1" t="e">
        <f t="shared" si="10"/>
        <v>#VALUE!</v>
      </c>
      <c r="I27" s="1" t="e">
        <f t="shared" si="12"/>
        <v>#VALUE!</v>
      </c>
      <c r="J27" s="6" t="e">
        <f t="shared" si="3"/>
        <v>#VALUE!</v>
      </c>
      <c r="M27" s="9" t="b">
        <f t="shared" si="4"/>
        <v>0</v>
      </c>
      <c r="N27" s="10" t="e">
        <f t="shared" ref="N27:DJ27" si="36">IF(N$1&gt;$L$2,"",IF(N$1=$L$2,1,IF($L$2-N$1=$L$1-$M27,$L$3^($L$1-$M27),($L$3*N28*O28/(N28+($L$3-1)*O28)))))</f>
        <v>#DIV/0!</v>
      </c>
      <c r="O27" s="10" t="e">
        <f t="shared" si="36"/>
        <v>#DIV/0!</v>
      </c>
      <c r="P27" s="10">
        <f t="shared" si="36"/>
        <v>1</v>
      </c>
      <c r="Q27" s="10" t="str">
        <f t="shared" si="36"/>
        <v/>
      </c>
      <c r="R27" s="10" t="str">
        <f t="shared" si="36"/>
        <v/>
      </c>
      <c r="S27" s="10" t="str">
        <f t="shared" si="36"/>
        <v/>
      </c>
      <c r="T27" s="10" t="str">
        <f t="shared" si="36"/>
        <v/>
      </c>
      <c r="U27" s="10" t="str">
        <f t="shared" si="36"/>
        <v/>
      </c>
      <c r="V27" s="10" t="str">
        <f t="shared" si="36"/>
        <v/>
      </c>
      <c r="W27" s="10" t="str">
        <f t="shared" si="36"/>
        <v/>
      </c>
      <c r="X27" s="10" t="str">
        <f t="shared" si="36"/>
        <v/>
      </c>
      <c r="Y27" s="10" t="str">
        <f t="shared" si="36"/>
        <v/>
      </c>
      <c r="Z27" s="10" t="str">
        <f t="shared" si="36"/>
        <v/>
      </c>
      <c r="AA27" s="10" t="str">
        <f t="shared" si="36"/>
        <v/>
      </c>
      <c r="AB27" s="10" t="str">
        <f t="shared" si="36"/>
        <v/>
      </c>
      <c r="AC27" s="10" t="str">
        <f t="shared" si="36"/>
        <v/>
      </c>
      <c r="AD27" s="10" t="str">
        <f t="shared" si="36"/>
        <v/>
      </c>
      <c r="AE27" s="10" t="str">
        <f t="shared" si="36"/>
        <v/>
      </c>
      <c r="AF27" s="10" t="str">
        <f t="shared" si="36"/>
        <v/>
      </c>
      <c r="AG27" s="10" t="str">
        <f t="shared" si="36"/>
        <v/>
      </c>
      <c r="AH27" s="10" t="str">
        <f t="shared" si="36"/>
        <v/>
      </c>
      <c r="AI27" s="10" t="str">
        <f t="shared" si="36"/>
        <v/>
      </c>
      <c r="AJ27" s="10" t="str">
        <f t="shared" si="36"/>
        <v/>
      </c>
      <c r="AK27" s="10" t="str">
        <f t="shared" si="36"/>
        <v/>
      </c>
      <c r="AL27" s="10" t="str">
        <f t="shared" si="36"/>
        <v/>
      </c>
      <c r="AM27" s="10" t="str">
        <f t="shared" si="36"/>
        <v/>
      </c>
      <c r="AN27" s="10" t="str">
        <f t="shared" si="36"/>
        <v/>
      </c>
      <c r="AO27" s="10" t="str">
        <f t="shared" si="36"/>
        <v/>
      </c>
      <c r="AP27" s="10" t="str">
        <f t="shared" si="36"/>
        <v/>
      </c>
      <c r="AQ27" s="10" t="str">
        <f t="shared" si="36"/>
        <v/>
      </c>
      <c r="AR27" s="10" t="str">
        <f t="shared" si="36"/>
        <v/>
      </c>
      <c r="AS27" s="10" t="str">
        <f t="shared" si="36"/>
        <v/>
      </c>
      <c r="AT27" s="10" t="str">
        <f t="shared" si="36"/>
        <v/>
      </c>
      <c r="AU27" s="10" t="str">
        <f t="shared" si="36"/>
        <v/>
      </c>
      <c r="AV27" s="10" t="str">
        <f t="shared" si="36"/>
        <v/>
      </c>
      <c r="AW27" s="10" t="str">
        <f t="shared" si="36"/>
        <v/>
      </c>
      <c r="AX27" s="10" t="str">
        <f t="shared" si="36"/>
        <v/>
      </c>
      <c r="AY27" s="10" t="str">
        <f t="shared" si="36"/>
        <v/>
      </c>
      <c r="AZ27" s="10" t="str">
        <f t="shared" si="36"/>
        <v/>
      </c>
      <c r="BA27" s="10" t="str">
        <f t="shared" si="36"/>
        <v/>
      </c>
      <c r="BB27" s="10" t="str">
        <f t="shared" si="36"/>
        <v/>
      </c>
      <c r="BC27" s="10" t="str">
        <f t="shared" si="36"/>
        <v/>
      </c>
      <c r="BD27" s="10" t="str">
        <f t="shared" si="36"/>
        <v/>
      </c>
      <c r="BE27" s="10" t="str">
        <f t="shared" si="36"/>
        <v/>
      </c>
      <c r="BF27" s="10" t="str">
        <f t="shared" si="36"/>
        <v/>
      </c>
      <c r="BG27" s="10" t="str">
        <f t="shared" si="36"/>
        <v/>
      </c>
      <c r="BH27" s="10" t="str">
        <f t="shared" si="36"/>
        <v/>
      </c>
      <c r="BI27" s="10" t="str">
        <f t="shared" si="36"/>
        <v/>
      </c>
      <c r="BJ27" s="10" t="str">
        <f t="shared" si="36"/>
        <v/>
      </c>
      <c r="BK27" s="10" t="str">
        <f t="shared" si="36"/>
        <v/>
      </c>
      <c r="BL27" s="10" t="str">
        <f t="shared" si="36"/>
        <v/>
      </c>
      <c r="BM27" s="10" t="str">
        <f t="shared" si="36"/>
        <v/>
      </c>
      <c r="BN27" s="10" t="str">
        <f t="shared" si="36"/>
        <v/>
      </c>
      <c r="BO27" s="10" t="str">
        <f t="shared" si="36"/>
        <v/>
      </c>
      <c r="BP27" s="10" t="str">
        <f t="shared" si="36"/>
        <v/>
      </c>
      <c r="BQ27" s="10" t="str">
        <f t="shared" si="36"/>
        <v/>
      </c>
      <c r="BR27" s="10" t="str">
        <f t="shared" si="36"/>
        <v/>
      </c>
      <c r="BS27" s="10" t="str">
        <f t="shared" si="36"/>
        <v/>
      </c>
      <c r="BT27" s="10" t="str">
        <f t="shared" si="36"/>
        <v/>
      </c>
      <c r="BU27" s="10" t="str">
        <f t="shared" si="36"/>
        <v/>
      </c>
      <c r="BV27" s="10" t="str">
        <f t="shared" si="36"/>
        <v/>
      </c>
      <c r="BW27" s="10" t="str">
        <f t="shared" si="36"/>
        <v/>
      </c>
      <c r="BX27" s="10" t="str">
        <f t="shared" si="36"/>
        <v/>
      </c>
      <c r="BY27" s="10" t="str">
        <f t="shared" si="36"/>
        <v/>
      </c>
      <c r="BZ27" s="10" t="str">
        <f t="shared" si="36"/>
        <v/>
      </c>
      <c r="CA27" s="10" t="str">
        <f t="shared" si="36"/>
        <v/>
      </c>
      <c r="CB27" s="10" t="str">
        <f t="shared" si="36"/>
        <v/>
      </c>
      <c r="CC27" s="10" t="str">
        <f t="shared" si="36"/>
        <v/>
      </c>
      <c r="CD27" s="10" t="str">
        <f t="shared" si="36"/>
        <v/>
      </c>
      <c r="CE27" s="10" t="str">
        <f t="shared" si="36"/>
        <v/>
      </c>
      <c r="CF27" s="10" t="str">
        <f t="shared" si="36"/>
        <v/>
      </c>
      <c r="CG27" s="10" t="str">
        <f t="shared" si="36"/>
        <v/>
      </c>
      <c r="CH27" s="10" t="str">
        <f t="shared" si="36"/>
        <v/>
      </c>
      <c r="CI27" s="10" t="str">
        <f t="shared" si="36"/>
        <v/>
      </c>
      <c r="CJ27" s="10" t="str">
        <f t="shared" si="36"/>
        <v/>
      </c>
      <c r="CK27" s="10" t="str">
        <f t="shared" si="36"/>
        <v/>
      </c>
      <c r="CL27" s="10" t="str">
        <f t="shared" si="36"/>
        <v/>
      </c>
      <c r="CM27" s="10" t="str">
        <f t="shared" si="36"/>
        <v/>
      </c>
      <c r="CN27" s="10" t="str">
        <f t="shared" si="36"/>
        <v/>
      </c>
      <c r="CO27" s="10" t="str">
        <f t="shared" si="36"/>
        <v/>
      </c>
      <c r="CP27" s="10" t="str">
        <f t="shared" si="36"/>
        <v/>
      </c>
      <c r="CQ27" s="10" t="str">
        <f t="shared" si="36"/>
        <v/>
      </c>
      <c r="CR27" s="10" t="str">
        <f t="shared" si="36"/>
        <v/>
      </c>
      <c r="CS27" s="10" t="str">
        <f t="shared" si="36"/>
        <v/>
      </c>
      <c r="CT27" s="10" t="str">
        <f t="shared" si="36"/>
        <v/>
      </c>
      <c r="CU27" s="10" t="str">
        <f t="shared" si="36"/>
        <v/>
      </c>
      <c r="CV27" s="10" t="str">
        <f t="shared" si="36"/>
        <v/>
      </c>
      <c r="CW27" s="10" t="str">
        <f t="shared" si="36"/>
        <v/>
      </c>
      <c r="CX27" s="10" t="str">
        <f t="shared" si="36"/>
        <v/>
      </c>
      <c r="CY27" s="10" t="str">
        <f t="shared" si="36"/>
        <v/>
      </c>
      <c r="CZ27" s="10" t="str">
        <f t="shared" si="36"/>
        <v/>
      </c>
      <c r="DA27" s="10" t="str">
        <f t="shared" si="36"/>
        <v/>
      </c>
      <c r="DB27" s="10" t="str">
        <f t="shared" si="36"/>
        <v/>
      </c>
      <c r="DC27" s="10" t="str">
        <f t="shared" si="36"/>
        <v/>
      </c>
      <c r="DD27" s="10" t="str">
        <f t="shared" si="36"/>
        <v/>
      </c>
      <c r="DE27" s="10" t="str">
        <f t="shared" si="36"/>
        <v/>
      </c>
      <c r="DF27" s="10" t="str">
        <f t="shared" si="36"/>
        <v/>
      </c>
      <c r="DG27" s="10" t="str">
        <f t="shared" si="36"/>
        <v/>
      </c>
      <c r="DH27" s="10" t="str">
        <f t="shared" si="36"/>
        <v/>
      </c>
      <c r="DI27" s="10" t="str">
        <f t="shared" si="36"/>
        <v/>
      </c>
      <c r="DJ27" s="10" t="str">
        <f t="shared" si="36"/>
        <v/>
      </c>
    </row>
    <row r="28" spans="1:114" ht="15.75" customHeight="1">
      <c r="A28" s="1">
        <f>Gerenciamento!D28</f>
        <v>0</v>
      </c>
      <c r="B28" s="1" t="e">
        <f t="shared" si="2"/>
        <v>#VALUE!</v>
      </c>
      <c r="C28" s="2" t="e">
        <f t="shared" si="6"/>
        <v>#VALUE!</v>
      </c>
      <c r="D28" s="2" t="e">
        <f t="shared" si="7"/>
        <v>#VALUE!</v>
      </c>
      <c r="E28" s="2" t="e">
        <f t="shared" si="8"/>
        <v>#VALUE!</v>
      </c>
      <c r="F28" s="2" t="e">
        <f t="shared" si="9"/>
        <v>#VALUE!</v>
      </c>
      <c r="G28" s="5" t="e">
        <f t="shared" si="15"/>
        <v>#VALUE!</v>
      </c>
      <c r="H28" s="1" t="e">
        <f t="shared" si="10"/>
        <v>#VALUE!</v>
      </c>
      <c r="I28" s="1" t="e">
        <f t="shared" si="12"/>
        <v>#VALUE!</v>
      </c>
      <c r="J28" s="6" t="e">
        <f t="shared" si="3"/>
        <v>#VALUE!</v>
      </c>
      <c r="M28" s="9" t="b">
        <f t="shared" si="4"/>
        <v>0</v>
      </c>
      <c r="N28" s="10" t="e">
        <f t="shared" ref="N28:DJ28" si="37">IF(N$1&gt;$L$2,"",IF(N$1=$L$2,1,IF($L$2-N$1=$L$1-$M28,$L$3^($L$1-$M28),($L$3*N29*O29/(N29+($L$3-1)*O29)))))</f>
        <v>#DIV/0!</v>
      </c>
      <c r="O28" s="10" t="e">
        <f t="shared" si="37"/>
        <v>#DIV/0!</v>
      </c>
      <c r="P28" s="10">
        <f t="shared" si="37"/>
        <v>1</v>
      </c>
      <c r="Q28" s="10" t="str">
        <f t="shared" si="37"/>
        <v/>
      </c>
      <c r="R28" s="10" t="str">
        <f t="shared" si="37"/>
        <v/>
      </c>
      <c r="S28" s="10" t="str">
        <f t="shared" si="37"/>
        <v/>
      </c>
      <c r="T28" s="10" t="str">
        <f t="shared" si="37"/>
        <v/>
      </c>
      <c r="U28" s="10" t="str">
        <f t="shared" si="37"/>
        <v/>
      </c>
      <c r="V28" s="10" t="str">
        <f t="shared" si="37"/>
        <v/>
      </c>
      <c r="W28" s="10" t="str">
        <f t="shared" si="37"/>
        <v/>
      </c>
      <c r="X28" s="10" t="str">
        <f t="shared" si="37"/>
        <v/>
      </c>
      <c r="Y28" s="10" t="str">
        <f t="shared" si="37"/>
        <v/>
      </c>
      <c r="Z28" s="10" t="str">
        <f t="shared" si="37"/>
        <v/>
      </c>
      <c r="AA28" s="10" t="str">
        <f t="shared" si="37"/>
        <v/>
      </c>
      <c r="AB28" s="10" t="str">
        <f t="shared" si="37"/>
        <v/>
      </c>
      <c r="AC28" s="10" t="str">
        <f t="shared" si="37"/>
        <v/>
      </c>
      <c r="AD28" s="10" t="str">
        <f t="shared" si="37"/>
        <v/>
      </c>
      <c r="AE28" s="10" t="str">
        <f t="shared" si="37"/>
        <v/>
      </c>
      <c r="AF28" s="10" t="str">
        <f t="shared" si="37"/>
        <v/>
      </c>
      <c r="AG28" s="10" t="str">
        <f t="shared" si="37"/>
        <v/>
      </c>
      <c r="AH28" s="10" t="str">
        <f t="shared" si="37"/>
        <v/>
      </c>
      <c r="AI28" s="10" t="str">
        <f t="shared" si="37"/>
        <v/>
      </c>
      <c r="AJ28" s="10" t="str">
        <f t="shared" si="37"/>
        <v/>
      </c>
      <c r="AK28" s="10" t="str">
        <f t="shared" si="37"/>
        <v/>
      </c>
      <c r="AL28" s="10" t="str">
        <f t="shared" si="37"/>
        <v/>
      </c>
      <c r="AM28" s="10" t="str">
        <f t="shared" si="37"/>
        <v/>
      </c>
      <c r="AN28" s="10" t="str">
        <f t="shared" si="37"/>
        <v/>
      </c>
      <c r="AO28" s="10" t="str">
        <f t="shared" si="37"/>
        <v/>
      </c>
      <c r="AP28" s="10" t="str">
        <f t="shared" si="37"/>
        <v/>
      </c>
      <c r="AQ28" s="10" t="str">
        <f t="shared" si="37"/>
        <v/>
      </c>
      <c r="AR28" s="10" t="str">
        <f t="shared" si="37"/>
        <v/>
      </c>
      <c r="AS28" s="10" t="str">
        <f t="shared" si="37"/>
        <v/>
      </c>
      <c r="AT28" s="10" t="str">
        <f t="shared" si="37"/>
        <v/>
      </c>
      <c r="AU28" s="10" t="str">
        <f t="shared" si="37"/>
        <v/>
      </c>
      <c r="AV28" s="10" t="str">
        <f t="shared" si="37"/>
        <v/>
      </c>
      <c r="AW28" s="10" t="str">
        <f t="shared" si="37"/>
        <v/>
      </c>
      <c r="AX28" s="10" t="str">
        <f t="shared" si="37"/>
        <v/>
      </c>
      <c r="AY28" s="10" t="str">
        <f t="shared" si="37"/>
        <v/>
      </c>
      <c r="AZ28" s="10" t="str">
        <f t="shared" si="37"/>
        <v/>
      </c>
      <c r="BA28" s="10" t="str">
        <f t="shared" si="37"/>
        <v/>
      </c>
      <c r="BB28" s="10" t="str">
        <f t="shared" si="37"/>
        <v/>
      </c>
      <c r="BC28" s="10" t="str">
        <f t="shared" si="37"/>
        <v/>
      </c>
      <c r="BD28" s="10" t="str">
        <f t="shared" si="37"/>
        <v/>
      </c>
      <c r="BE28" s="10" t="str">
        <f t="shared" si="37"/>
        <v/>
      </c>
      <c r="BF28" s="10" t="str">
        <f t="shared" si="37"/>
        <v/>
      </c>
      <c r="BG28" s="10" t="str">
        <f t="shared" si="37"/>
        <v/>
      </c>
      <c r="BH28" s="10" t="str">
        <f t="shared" si="37"/>
        <v/>
      </c>
      <c r="BI28" s="10" t="str">
        <f t="shared" si="37"/>
        <v/>
      </c>
      <c r="BJ28" s="10" t="str">
        <f t="shared" si="37"/>
        <v/>
      </c>
      <c r="BK28" s="10" t="str">
        <f t="shared" si="37"/>
        <v/>
      </c>
      <c r="BL28" s="10" t="str">
        <f t="shared" si="37"/>
        <v/>
      </c>
      <c r="BM28" s="10" t="str">
        <f t="shared" si="37"/>
        <v/>
      </c>
      <c r="BN28" s="10" t="str">
        <f t="shared" si="37"/>
        <v/>
      </c>
      <c r="BO28" s="10" t="str">
        <f t="shared" si="37"/>
        <v/>
      </c>
      <c r="BP28" s="10" t="str">
        <f t="shared" si="37"/>
        <v/>
      </c>
      <c r="BQ28" s="10" t="str">
        <f t="shared" si="37"/>
        <v/>
      </c>
      <c r="BR28" s="10" t="str">
        <f t="shared" si="37"/>
        <v/>
      </c>
      <c r="BS28" s="10" t="str">
        <f t="shared" si="37"/>
        <v/>
      </c>
      <c r="BT28" s="10" t="str">
        <f t="shared" si="37"/>
        <v/>
      </c>
      <c r="BU28" s="10" t="str">
        <f t="shared" si="37"/>
        <v/>
      </c>
      <c r="BV28" s="10" t="str">
        <f t="shared" si="37"/>
        <v/>
      </c>
      <c r="BW28" s="10" t="str">
        <f t="shared" si="37"/>
        <v/>
      </c>
      <c r="BX28" s="10" t="str">
        <f t="shared" si="37"/>
        <v/>
      </c>
      <c r="BY28" s="10" t="str">
        <f t="shared" si="37"/>
        <v/>
      </c>
      <c r="BZ28" s="10" t="str">
        <f t="shared" si="37"/>
        <v/>
      </c>
      <c r="CA28" s="10" t="str">
        <f t="shared" si="37"/>
        <v/>
      </c>
      <c r="CB28" s="10" t="str">
        <f t="shared" si="37"/>
        <v/>
      </c>
      <c r="CC28" s="10" t="str">
        <f t="shared" si="37"/>
        <v/>
      </c>
      <c r="CD28" s="10" t="str">
        <f t="shared" si="37"/>
        <v/>
      </c>
      <c r="CE28" s="10" t="str">
        <f t="shared" si="37"/>
        <v/>
      </c>
      <c r="CF28" s="10" t="str">
        <f t="shared" si="37"/>
        <v/>
      </c>
      <c r="CG28" s="10" t="str">
        <f t="shared" si="37"/>
        <v/>
      </c>
      <c r="CH28" s="10" t="str">
        <f t="shared" si="37"/>
        <v/>
      </c>
      <c r="CI28" s="10" t="str">
        <f t="shared" si="37"/>
        <v/>
      </c>
      <c r="CJ28" s="10" t="str">
        <f t="shared" si="37"/>
        <v/>
      </c>
      <c r="CK28" s="10" t="str">
        <f t="shared" si="37"/>
        <v/>
      </c>
      <c r="CL28" s="10" t="str">
        <f t="shared" si="37"/>
        <v/>
      </c>
      <c r="CM28" s="10" t="str">
        <f t="shared" si="37"/>
        <v/>
      </c>
      <c r="CN28" s="10" t="str">
        <f t="shared" si="37"/>
        <v/>
      </c>
      <c r="CO28" s="10" t="str">
        <f t="shared" si="37"/>
        <v/>
      </c>
      <c r="CP28" s="10" t="str">
        <f t="shared" si="37"/>
        <v/>
      </c>
      <c r="CQ28" s="10" t="str">
        <f t="shared" si="37"/>
        <v/>
      </c>
      <c r="CR28" s="10" t="str">
        <f t="shared" si="37"/>
        <v/>
      </c>
      <c r="CS28" s="10" t="str">
        <f t="shared" si="37"/>
        <v/>
      </c>
      <c r="CT28" s="10" t="str">
        <f t="shared" si="37"/>
        <v/>
      </c>
      <c r="CU28" s="10" t="str">
        <f t="shared" si="37"/>
        <v/>
      </c>
      <c r="CV28" s="10" t="str">
        <f t="shared" si="37"/>
        <v/>
      </c>
      <c r="CW28" s="10" t="str">
        <f t="shared" si="37"/>
        <v/>
      </c>
      <c r="CX28" s="10" t="str">
        <f t="shared" si="37"/>
        <v/>
      </c>
      <c r="CY28" s="10" t="str">
        <f t="shared" si="37"/>
        <v/>
      </c>
      <c r="CZ28" s="10" t="str">
        <f t="shared" si="37"/>
        <v/>
      </c>
      <c r="DA28" s="10" t="str">
        <f t="shared" si="37"/>
        <v/>
      </c>
      <c r="DB28" s="10" t="str">
        <f t="shared" si="37"/>
        <v/>
      </c>
      <c r="DC28" s="10" t="str">
        <f t="shared" si="37"/>
        <v/>
      </c>
      <c r="DD28" s="10" t="str">
        <f t="shared" si="37"/>
        <v/>
      </c>
      <c r="DE28" s="10" t="str">
        <f t="shared" si="37"/>
        <v/>
      </c>
      <c r="DF28" s="10" t="str">
        <f t="shared" si="37"/>
        <v/>
      </c>
      <c r="DG28" s="10" t="str">
        <f t="shared" si="37"/>
        <v/>
      </c>
      <c r="DH28" s="10" t="str">
        <f t="shared" si="37"/>
        <v/>
      </c>
      <c r="DI28" s="10" t="str">
        <f t="shared" si="37"/>
        <v/>
      </c>
      <c r="DJ28" s="10" t="str">
        <f t="shared" si="37"/>
        <v/>
      </c>
    </row>
    <row r="29" spans="1:114" ht="13.5" customHeight="1">
      <c r="A29" s="1">
        <f>Gerenciamento!D29</f>
        <v>0</v>
      </c>
      <c r="B29" s="1" t="e">
        <f t="shared" si="2"/>
        <v>#VALUE!</v>
      </c>
      <c r="C29" s="2" t="e">
        <f t="shared" si="6"/>
        <v>#VALUE!</v>
      </c>
      <c r="D29" s="2" t="e">
        <f t="shared" si="7"/>
        <v>#VALUE!</v>
      </c>
      <c r="E29" s="2" t="e">
        <f t="shared" si="8"/>
        <v>#VALUE!</v>
      </c>
      <c r="F29" s="2" t="e">
        <f t="shared" si="9"/>
        <v>#VALUE!</v>
      </c>
      <c r="G29" s="5" t="e">
        <f t="shared" si="15"/>
        <v>#VALUE!</v>
      </c>
      <c r="H29" s="1" t="e">
        <f t="shared" si="10"/>
        <v>#VALUE!</v>
      </c>
      <c r="I29" s="1" t="e">
        <f t="shared" si="12"/>
        <v>#VALUE!</v>
      </c>
      <c r="J29" s="6" t="e">
        <f t="shared" si="3"/>
        <v>#VALUE!</v>
      </c>
      <c r="M29" s="9" t="b">
        <f t="shared" si="4"/>
        <v>0</v>
      </c>
      <c r="N29" s="10" t="e">
        <f t="shared" ref="N29:DJ29" si="38">IF(N$1&gt;$L$2,"",IF(N$1=$L$2,1,IF($L$2-N$1=$L$1-$M29,$L$3^($L$1-$M29),($L$3*N30*O30/(N30+($L$3-1)*O30)))))</f>
        <v>#DIV/0!</v>
      </c>
      <c r="O29" s="10" t="e">
        <f t="shared" si="38"/>
        <v>#DIV/0!</v>
      </c>
      <c r="P29" s="10">
        <f t="shared" si="38"/>
        <v>1</v>
      </c>
      <c r="Q29" s="10" t="str">
        <f t="shared" si="38"/>
        <v/>
      </c>
      <c r="R29" s="10" t="str">
        <f t="shared" si="38"/>
        <v/>
      </c>
      <c r="S29" s="10" t="str">
        <f t="shared" si="38"/>
        <v/>
      </c>
      <c r="T29" s="10" t="str">
        <f t="shared" si="38"/>
        <v/>
      </c>
      <c r="U29" s="10" t="str">
        <f t="shared" si="38"/>
        <v/>
      </c>
      <c r="V29" s="10" t="str">
        <f t="shared" si="38"/>
        <v/>
      </c>
      <c r="W29" s="10" t="str">
        <f t="shared" si="38"/>
        <v/>
      </c>
      <c r="X29" s="10" t="str">
        <f t="shared" si="38"/>
        <v/>
      </c>
      <c r="Y29" s="10" t="str">
        <f t="shared" si="38"/>
        <v/>
      </c>
      <c r="Z29" s="10" t="str">
        <f t="shared" si="38"/>
        <v/>
      </c>
      <c r="AA29" s="10" t="str">
        <f t="shared" si="38"/>
        <v/>
      </c>
      <c r="AB29" s="10" t="str">
        <f t="shared" si="38"/>
        <v/>
      </c>
      <c r="AC29" s="10" t="str">
        <f t="shared" si="38"/>
        <v/>
      </c>
      <c r="AD29" s="10" t="str">
        <f t="shared" si="38"/>
        <v/>
      </c>
      <c r="AE29" s="10" t="str">
        <f t="shared" si="38"/>
        <v/>
      </c>
      <c r="AF29" s="10" t="str">
        <f t="shared" si="38"/>
        <v/>
      </c>
      <c r="AG29" s="10" t="str">
        <f t="shared" si="38"/>
        <v/>
      </c>
      <c r="AH29" s="10" t="str">
        <f t="shared" si="38"/>
        <v/>
      </c>
      <c r="AI29" s="10" t="str">
        <f t="shared" si="38"/>
        <v/>
      </c>
      <c r="AJ29" s="10" t="str">
        <f t="shared" si="38"/>
        <v/>
      </c>
      <c r="AK29" s="10" t="str">
        <f t="shared" si="38"/>
        <v/>
      </c>
      <c r="AL29" s="10" t="str">
        <f t="shared" si="38"/>
        <v/>
      </c>
      <c r="AM29" s="10" t="str">
        <f t="shared" si="38"/>
        <v/>
      </c>
      <c r="AN29" s="10" t="str">
        <f t="shared" si="38"/>
        <v/>
      </c>
      <c r="AO29" s="10" t="str">
        <f t="shared" si="38"/>
        <v/>
      </c>
      <c r="AP29" s="10" t="str">
        <f t="shared" si="38"/>
        <v/>
      </c>
      <c r="AQ29" s="10" t="str">
        <f t="shared" si="38"/>
        <v/>
      </c>
      <c r="AR29" s="10" t="str">
        <f t="shared" si="38"/>
        <v/>
      </c>
      <c r="AS29" s="10" t="str">
        <f t="shared" si="38"/>
        <v/>
      </c>
      <c r="AT29" s="10" t="str">
        <f t="shared" si="38"/>
        <v/>
      </c>
      <c r="AU29" s="10" t="str">
        <f t="shared" si="38"/>
        <v/>
      </c>
      <c r="AV29" s="10" t="str">
        <f t="shared" si="38"/>
        <v/>
      </c>
      <c r="AW29" s="10" t="str">
        <f t="shared" si="38"/>
        <v/>
      </c>
      <c r="AX29" s="10" t="str">
        <f t="shared" si="38"/>
        <v/>
      </c>
      <c r="AY29" s="10" t="str">
        <f t="shared" si="38"/>
        <v/>
      </c>
      <c r="AZ29" s="10" t="str">
        <f t="shared" si="38"/>
        <v/>
      </c>
      <c r="BA29" s="10" t="str">
        <f t="shared" si="38"/>
        <v/>
      </c>
      <c r="BB29" s="10" t="str">
        <f t="shared" si="38"/>
        <v/>
      </c>
      <c r="BC29" s="10" t="str">
        <f t="shared" si="38"/>
        <v/>
      </c>
      <c r="BD29" s="10" t="str">
        <f t="shared" si="38"/>
        <v/>
      </c>
      <c r="BE29" s="10" t="str">
        <f t="shared" si="38"/>
        <v/>
      </c>
      <c r="BF29" s="10" t="str">
        <f t="shared" si="38"/>
        <v/>
      </c>
      <c r="BG29" s="10" t="str">
        <f t="shared" si="38"/>
        <v/>
      </c>
      <c r="BH29" s="10" t="str">
        <f t="shared" si="38"/>
        <v/>
      </c>
      <c r="BI29" s="10" t="str">
        <f t="shared" si="38"/>
        <v/>
      </c>
      <c r="BJ29" s="10" t="str">
        <f t="shared" si="38"/>
        <v/>
      </c>
      <c r="BK29" s="10" t="str">
        <f t="shared" si="38"/>
        <v/>
      </c>
      <c r="BL29" s="10" t="str">
        <f t="shared" si="38"/>
        <v/>
      </c>
      <c r="BM29" s="10" t="str">
        <f t="shared" si="38"/>
        <v/>
      </c>
      <c r="BN29" s="10" t="str">
        <f t="shared" si="38"/>
        <v/>
      </c>
      <c r="BO29" s="10" t="str">
        <f t="shared" si="38"/>
        <v/>
      </c>
      <c r="BP29" s="10" t="str">
        <f t="shared" si="38"/>
        <v/>
      </c>
      <c r="BQ29" s="10" t="str">
        <f t="shared" si="38"/>
        <v/>
      </c>
      <c r="BR29" s="10" t="str">
        <f t="shared" si="38"/>
        <v/>
      </c>
      <c r="BS29" s="10" t="str">
        <f t="shared" si="38"/>
        <v/>
      </c>
      <c r="BT29" s="10" t="str">
        <f t="shared" si="38"/>
        <v/>
      </c>
      <c r="BU29" s="10" t="str">
        <f t="shared" si="38"/>
        <v/>
      </c>
      <c r="BV29" s="10" t="str">
        <f t="shared" si="38"/>
        <v/>
      </c>
      <c r="BW29" s="10" t="str">
        <f t="shared" si="38"/>
        <v/>
      </c>
      <c r="BX29" s="10" t="str">
        <f t="shared" si="38"/>
        <v/>
      </c>
      <c r="BY29" s="10" t="str">
        <f t="shared" si="38"/>
        <v/>
      </c>
      <c r="BZ29" s="10" t="str">
        <f t="shared" si="38"/>
        <v/>
      </c>
      <c r="CA29" s="10" t="str">
        <f t="shared" si="38"/>
        <v/>
      </c>
      <c r="CB29" s="10" t="str">
        <f t="shared" si="38"/>
        <v/>
      </c>
      <c r="CC29" s="10" t="str">
        <f t="shared" si="38"/>
        <v/>
      </c>
      <c r="CD29" s="10" t="str">
        <f t="shared" si="38"/>
        <v/>
      </c>
      <c r="CE29" s="10" t="str">
        <f t="shared" si="38"/>
        <v/>
      </c>
      <c r="CF29" s="10" t="str">
        <f t="shared" si="38"/>
        <v/>
      </c>
      <c r="CG29" s="10" t="str">
        <f t="shared" si="38"/>
        <v/>
      </c>
      <c r="CH29" s="10" t="str">
        <f t="shared" si="38"/>
        <v/>
      </c>
      <c r="CI29" s="10" t="str">
        <f t="shared" si="38"/>
        <v/>
      </c>
      <c r="CJ29" s="10" t="str">
        <f t="shared" si="38"/>
        <v/>
      </c>
      <c r="CK29" s="10" t="str">
        <f t="shared" si="38"/>
        <v/>
      </c>
      <c r="CL29" s="10" t="str">
        <f t="shared" si="38"/>
        <v/>
      </c>
      <c r="CM29" s="10" t="str">
        <f t="shared" si="38"/>
        <v/>
      </c>
      <c r="CN29" s="10" t="str">
        <f t="shared" si="38"/>
        <v/>
      </c>
      <c r="CO29" s="10" t="str">
        <f t="shared" si="38"/>
        <v/>
      </c>
      <c r="CP29" s="10" t="str">
        <f t="shared" si="38"/>
        <v/>
      </c>
      <c r="CQ29" s="10" t="str">
        <f t="shared" si="38"/>
        <v/>
      </c>
      <c r="CR29" s="10" t="str">
        <f t="shared" si="38"/>
        <v/>
      </c>
      <c r="CS29" s="10" t="str">
        <f t="shared" si="38"/>
        <v/>
      </c>
      <c r="CT29" s="10" t="str">
        <f t="shared" si="38"/>
        <v/>
      </c>
      <c r="CU29" s="10" t="str">
        <f t="shared" si="38"/>
        <v/>
      </c>
      <c r="CV29" s="10" t="str">
        <f t="shared" si="38"/>
        <v/>
      </c>
      <c r="CW29" s="10" t="str">
        <f t="shared" si="38"/>
        <v/>
      </c>
      <c r="CX29" s="10" t="str">
        <f t="shared" si="38"/>
        <v/>
      </c>
      <c r="CY29" s="10" t="str">
        <f t="shared" si="38"/>
        <v/>
      </c>
      <c r="CZ29" s="10" t="str">
        <f t="shared" si="38"/>
        <v/>
      </c>
      <c r="DA29" s="10" t="str">
        <f t="shared" si="38"/>
        <v/>
      </c>
      <c r="DB29" s="10" t="str">
        <f t="shared" si="38"/>
        <v/>
      </c>
      <c r="DC29" s="10" t="str">
        <f t="shared" si="38"/>
        <v/>
      </c>
      <c r="DD29" s="10" t="str">
        <f t="shared" si="38"/>
        <v/>
      </c>
      <c r="DE29" s="10" t="str">
        <f t="shared" si="38"/>
        <v/>
      </c>
      <c r="DF29" s="10" t="str">
        <f t="shared" si="38"/>
        <v/>
      </c>
      <c r="DG29" s="10" t="str">
        <f t="shared" si="38"/>
        <v/>
      </c>
      <c r="DH29" s="10" t="str">
        <f t="shared" si="38"/>
        <v/>
      </c>
      <c r="DI29" s="10" t="str">
        <f t="shared" si="38"/>
        <v/>
      </c>
      <c r="DJ29" s="10" t="str">
        <f t="shared" si="38"/>
        <v/>
      </c>
    </row>
    <row r="30" spans="1:114" ht="13.5" customHeight="1">
      <c r="A30" s="1">
        <f>Gerenciamento!D30</f>
        <v>0</v>
      </c>
      <c r="B30" s="1" t="e">
        <f t="shared" si="2"/>
        <v>#VALUE!</v>
      </c>
      <c r="C30" s="2" t="e">
        <f t="shared" si="6"/>
        <v>#VALUE!</v>
      </c>
      <c r="D30" s="2" t="e">
        <f t="shared" si="7"/>
        <v>#VALUE!</v>
      </c>
      <c r="E30" s="2" t="e">
        <f t="shared" si="8"/>
        <v>#VALUE!</v>
      </c>
      <c r="F30" s="2" t="e">
        <f t="shared" si="9"/>
        <v>#VALUE!</v>
      </c>
      <c r="G30" s="5" t="e">
        <f t="shared" si="15"/>
        <v>#VALUE!</v>
      </c>
      <c r="H30" s="1" t="e">
        <f t="shared" si="10"/>
        <v>#VALUE!</v>
      </c>
      <c r="I30" s="1" t="e">
        <f t="shared" si="12"/>
        <v>#VALUE!</v>
      </c>
      <c r="J30" s="6" t="e">
        <f t="shared" si="3"/>
        <v>#VALUE!</v>
      </c>
      <c r="M30" s="9" t="b">
        <f t="shared" si="4"/>
        <v>0</v>
      </c>
      <c r="N30" s="10" t="e">
        <f t="shared" ref="N30:DJ30" si="39">IF(N$1&gt;$L$2,"",IF(N$1=$L$2,1,IF($L$2-N$1=$L$1-$M30,$L$3^($L$1-$M30),($L$3*N31*O31/(N31+($L$3-1)*O31)))))</f>
        <v>#DIV/0!</v>
      </c>
      <c r="O30" s="10" t="e">
        <f t="shared" si="39"/>
        <v>#DIV/0!</v>
      </c>
      <c r="P30" s="10">
        <f t="shared" si="39"/>
        <v>1</v>
      </c>
      <c r="Q30" s="10" t="str">
        <f t="shared" si="39"/>
        <v/>
      </c>
      <c r="R30" s="10" t="str">
        <f t="shared" si="39"/>
        <v/>
      </c>
      <c r="S30" s="10" t="str">
        <f t="shared" si="39"/>
        <v/>
      </c>
      <c r="T30" s="10" t="str">
        <f t="shared" si="39"/>
        <v/>
      </c>
      <c r="U30" s="10" t="str">
        <f t="shared" si="39"/>
        <v/>
      </c>
      <c r="V30" s="10" t="str">
        <f t="shared" si="39"/>
        <v/>
      </c>
      <c r="W30" s="10" t="str">
        <f t="shared" si="39"/>
        <v/>
      </c>
      <c r="X30" s="10" t="str">
        <f t="shared" si="39"/>
        <v/>
      </c>
      <c r="Y30" s="10" t="str">
        <f t="shared" si="39"/>
        <v/>
      </c>
      <c r="Z30" s="10" t="str">
        <f t="shared" si="39"/>
        <v/>
      </c>
      <c r="AA30" s="10" t="str">
        <f t="shared" si="39"/>
        <v/>
      </c>
      <c r="AB30" s="10" t="str">
        <f t="shared" si="39"/>
        <v/>
      </c>
      <c r="AC30" s="10" t="str">
        <f t="shared" si="39"/>
        <v/>
      </c>
      <c r="AD30" s="10" t="str">
        <f t="shared" si="39"/>
        <v/>
      </c>
      <c r="AE30" s="10" t="str">
        <f t="shared" si="39"/>
        <v/>
      </c>
      <c r="AF30" s="10" t="str">
        <f t="shared" si="39"/>
        <v/>
      </c>
      <c r="AG30" s="10" t="str">
        <f t="shared" si="39"/>
        <v/>
      </c>
      <c r="AH30" s="10" t="str">
        <f t="shared" si="39"/>
        <v/>
      </c>
      <c r="AI30" s="10" t="str">
        <f t="shared" si="39"/>
        <v/>
      </c>
      <c r="AJ30" s="10" t="str">
        <f t="shared" si="39"/>
        <v/>
      </c>
      <c r="AK30" s="10" t="str">
        <f t="shared" si="39"/>
        <v/>
      </c>
      <c r="AL30" s="10" t="str">
        <f t="shared" si="39"/>
        <v/>
      </c>
      <c r="AM30" s="10" t="str">
        <f t="shared" si="39"/>
        <v/>
      </c>
      <c r="AN30" s="10" t="str">
        <f t="shared" si="39"/>
        <v/>
      </c>
      <c r="AO30" s="10" t="str">
        <f t="shared" si="39"/>
        <v/>
      </c>
      <c r="AP30" s="10" t="str">
        <f t="shared" si="39"/>
        <v/>
      </c>
      <c r="AQ30" s="10" t="str">
        <f t="shared" si="39"/>
        <v/>
      </c>
      <c r="AR30" s="10" t="str">
        <f t="shared" si="39"/>
        <v/>
      </c>
      <c r="AS30" s="10" t="str">
        <f t="shared" si="39"/>
        <v/>
      </c>
      <c r="AT30" s="10" t="str">
        <f t="shared" si="39"/>
        <v/>
      </c>
      <c r="AU30" s="10" t="str">
        <f t="shared" si="39"/>
        <v/>
      </c>
      <c r="AV30" s="10" t="str">
        <f t="shared" si="39"/>
        <v/>
      </c>
      <c r="AW30" s="10" t="str">
        <f t="shared" si="39"/>
        <v/>
      </c>
      <c r="AX30" s="10" t="str">
        <f t="shared" si="39"/>
        <v/>
      </c>
      <c r="AY30" s="10" t="str">
        <f t="shared" si="39"/>
        <v/>
      </c>
      <c r="AZ30" s="10" t="str">
        <f t="shared" si="39"/>
        <v/>
      </c>
      <c r="BA30" s="10" t="str">
        <f t="shared" si="39"/>
        <v/>
      </c>
      <c r="BB30" s="10" t="str">
        <f t="shared" si="39"/>
        <v/>
      </c>
      <c r="BC30" s="10" t="str">
        <f t="shared" si="39"/>
        <v/>
      </c>
      <c r="BD30" s="10" t="str">
        <f t="shared" si="39"/>
        <v/>
      </c>
      <c r="BE30" s="10" t="str">
        <f t="shared" si="39"/>
        <v/>
      </c>
      <c r="BF30" s="10" t="str">
        <f t="shared" si="39"/>
        <v/>
      </c>
      <c r="BG30" s="10" t="str">
        <f t="shared" si="39"/>
        <v/>
      </c>
      <c r="BH30" s="10" t="str">
        <f t="shared" si="39"/>
        <v/>
      </c>
      <c r="BI30" s="10" t="str">
        <f t="shared" si="39"/>
        <v/>
      </c>
      <c r="BJ30" s="10" t="str">
        <f t="shared" si="39"/>
        <v/>
      </c>
      <c r="BK30" s="10" t="str">
        <f t="shared" si="39"/>
        <v/>
      </c>
      <c r="BL30" s="10" t="str">
        <f t="shared" si="39"/>
        <v/>
      </c>
      <c r="BM30" s="10" t="str">
        <f t="shared" si="39"/>
        <v/>
      </c>
      <c r="BN30" s="10" t="str">
        <f t="shared" si="39"/>
        <v/>
      </c>
      <c r="BO30" s="10" t="str">
        <f t="shared" si="39"/>
        <v/>
      </c>
      <c r="BP30" s="10" t="str">
        <f t="shared" si="39"/>
        <v/>
      </c>
      <c r="BQ30" s="10" t="str">
        <f t="shared" si="39"/>
        <v/>
      </c>
      <c r="BR30" s="10" t="str">
        <f t="shared" si="39"/>
        <v/>
      </c>
      <c r="BS30" s="10" t="str">
        <f t="shared" si="39"/>
        <v/>
      </c>
      <c r="BT30" s="10" t="str">
        <f t="shared" si="39"/>
        <v/>
      </c>
      <c r="BU30" s="10" t="str">
        <f t="shared" si="39"/>
        <v/>
      </c>
      <c r="BV30" s="10" t="str">
        <f t="shared" si="39"/>
        <v/>
      </c>
      <c r="BW30" s="10" t="str">
        <f t="shared" si="39"/>
        <v/>
      </c>
      <c r="BX30" s="10" t="str">
        <f t="shared" si="39"/>
        <v/>
      </c>
      <c r="BY30" s="10" t="str">
        <f t="shared" si="39"/>
        <v/>
      </c>
      <c r="BZ30" s="10" t="str">
        <f t="shared" si="39"/>
        <v/>
      </c>
      <c r="CA30" s="10" t="str">
        <f t="shared" si="39"/>
        <v/>
      </c>
      <c r="CB30" s="10" t="str">
        <f t="shared" si="39"/>
        <v/>
      </c>
      <c r="CC30" s="10" t="str">
        <f t="shared" si="39"/>
        <v/>
      </c>
      <c r="CD30" s="10" t="str">
        <f t="shared" si="39"/>
        <v/>
      </c>
      <c r="CE30" s="10" t="str">
        <f t="shared" si="39"/>
        <v/>
      </c>
      <c r="CF30" s="10" t="str">
        <f t="shared" si="39"/>
        <v/>
      </c>
      <c r="CG30" s="10" t="str">
        <f t="shared" si="39"/>
        <v/>
      </c>
      <c r="CH30" s="10" t="str">
        <f t="shared" si="39"/>
        <v/>
      </c>
      <c r="CI30" s="10" t="str">
        <f t="shared" si="39"/>
        <v/>
      </c>
      <c r="CJ30" s="10" t="str">
        <f t="shared" si="39"/>
        <v/>
      </c>
      <c r="CK30" s="10" t="str">
        <f t="shared" si="39"/>
        <v/>
      </c>
      <c r="CL30" s="10" t="str">
        <f t="shared" si="39"/>
        <v/>
      </c>
      <c r="CM30" s="10" t="str">
        <f t="shared" si="39"/>
        <v/>
      </c>
      <c r="CN30" s="10" t="str">
        <f t="shared" si="39"/>
        <v/>
      </c>
      <c r="CO30" s="10" t="str">
        <f t="shared" si="39"/>
        <v/>
      </c>
      <c r="CP30" s="10" t="str">
        <f t="shared" si="39"/>
        <v/>
      </c>
      <c r="CQ30" s="10" t="str">
        <f t="shared" si="39"/>
        <v/>
      </c>
      <c r="CR30" s="10" t="str">
        <f t="shared" si="39"/>
        <v/>
      </c>
      <c r="CS30" s="10" t="str">
        <f t="shared" si="39"/>
        <v/>
      </c>
      <c r="CT30" s="10" t="str">
        <f t="shared" si="39"/>
        <v/>
      </c>
      <c r="CU30" s="10" t="str">
        <f t="shared" si="39"/>
        <v/>
      </c>
      <c r="CV30" s="10" t="str">
        <f t="shared" si="39"/>
        <v/>
      </c>
      <c r="CW30" s="10" t="str">
        <f t="shared" si="39"/>
        <v/>
      </c>
      <c r="CX30" s="10" t="str">
        <f t="shared" si="39"/>
        <v/>
      </c>
      <c r="CY30" s="10" t="str">
        <f t="shared" si="39"/>
        <v/>
      </c>
      <c r="CZ30" s="10" t="str">
        <f t="shared" si="39"/>
        <v/>
      </c>
      <c r="DA30" s="10" t="str">
        <f t="shared" si="39"/>
        <v/>
      </c>
      <c r="DB30" s="10" t="str">
        <f t="shared" si="39"/>
        <v/>
      </c>
      <c r="DC30" s="10" t="str">
        <f t="shared" si="39"/>
        <v/>
      </c>
      <c r="DD30" s="10" t="str">
        <f t="shared" si="39"/>
        <v/>
      </c>
      <c r="DE30" s="10" t="str">
        <f t="shared" si="39"/>
        <v/>
      </c>
      <c r="DF30" s="10" t="str">
        <f t="shared" si="39"/>
        <v/>
      </c>
      <c r="DG30" s="10" t="str">
        <f t="shared" si="39"/>
        <v/>
      </c>
      <c r="DH30" s="10" t="str">
        <f t="shared" si="39"/>
        <v/>
      </c>
      <c r="DI30" s="10" t="str">
        <f t="shared" si="39"/>
        <v/>
      </c>
      <c r="DJ30" s="10" t="str">
        <f t="shared" si="39"/>
        <v/>
      </c>
    </row>
    <row r="31" spans="1:114" ht="13.5" customHeight="1">
      <c r="A31" s="1">
        <f>Gerenciamento!D31</f>
        <v>0</v>
      </c>
      <c r="B31" s="1" t="e">
        <f t="shared" si="2"/>
        <v>#VALUE!</v>
      </c>
      <c r="C31" s="2" t="e">
        <f t="shared" si="6"/>
        <v>#VALUE!</v>
      </c>
      <c r="D31" s="2" t="e">
        <f t="shared" si="7"/>
        <v>#VALUE!</v>
      </c>
      <c r="E31" s="2" t="e">
        <f t="shared" si="8"/>
        <v>#VALUE!</v>
      </c>
      <c r="F31" s="2" t="e">
        <f t="shared" si="9"/>
        <v>#VALUE!</v>
      </c>
      <c r="G31" s="5" t="e">
        <f t="shared" si="15"/>
        <v>#VALUE!</v>
      </c>
      <c r="H31" s="1" t="e">
        <f t="shared" si="10"/>
        <v>#VALUE!</v>
      </c>
      <c r="I31" s="1" t="e">
        <f t="shared" si="12"/>
        <v>#VALUE!</v>
      </c>
      <c r="J31" s="6" t="e">
        <f t="shared" si="3"/>
        <v>#VALUE!</v>
      </c>
      <c r="M31" s="9" t="b">
        <f t="shared" si="4"/>
        <v>0</v>
      </c>
      <c r="N31" s="10" t="e">
        <f t="shared" ref="N31:DJ31" si="40">IF(N$1&gt;$L$2,"",IF(N$1=$L$2,1,IF($L$2-N$1=$L$1-$M31,$L$3^($L$1-$M31),($L$3*N32*O32/(N32+($L$3-1)*O32)))))</f>
        <v>#DIV/0!</v>
      </c>
      <c r="O31" s="10" t="e">
        <f t="shared" si="40"/>
        <v>#DIV/0!</v>
      </c>
      <c r="P31" s="10">
        <f t="shared" si="40"/>
        <v>1</v>
      </c>
      <c r="Q31" s="10" t="str">
        <f t="shared" si="40"/>
        <v/>
      </c>
      <c r="R31" s="10" t="str">
        <f t="shared" si="40"/>
        <v/>
      </c>
      <c r="S31" s="10" t="str">
        <f t="shared" si="40"/>
        <v/>
      </c>
      <c r="T31" s="10" t="str">
        <f t="shared" si="40"/>
        <v/>
      </c>
      <c r="U31" s="10" t="str">
        <f t="shared" si="40"/>
        <v/>
      </c>
      <c r="V31" s="10" t="str">
        <f t="shared" si="40"/>
        <v/>
      </c>
      <c r="W31" s="10" t="str">
        <f t="shared" si="40"/>
        <v/>
      </c>
      <c r="X31" s="10" t="str">
        <f t="shared" si="40"/>
        <v/>
      </c>
      <c r="Y31" s="10" t="str">
        <f t="shared" si="40"/>
        <v/>
      </c>
      <c r="Z31" s="10" t="str">
        <f t="shared" si="40"/>
        <v/>
      </c>
      <c r="AA31" s="10" t="str">
        <f t="shared" si="40"/>
        <v/>
      </c>
      <c r="AB31" s="10" t="str">
        <f t="shared" si="40"/>
        <v/>
      </c>
      <c r="AC31" s="10" t="str">
        <f t="shared" si="40"/>
        <v/>
      </c>
      <c r="AD31" s="10" t="str">
        <f t="shared" si="40"/>
        <v/>
      </c>
      <c r="AE31" s="10" t="str">
        <f t="shared" si="40"/>
        <v/>
      </c>
      <c r="AF31" s="10" t="str">
        <f t="shared" si="40"/>
        <v/>
      </c>
      <c r="AG31" s="10" t="str">
        <f t="shared" si="40"/>
        <v/>
      </c>
      <c r="AH31" s="10" t="str">
        <f t="shared" si="40"/>
        <v/>
      </c>
      <c r="AI31" s="10" t="str">
        <f t="shared" si="40"/>
        <v/>
      </c>
      <c r="AJ31" s="10" t="str">
        <f t="shared" si="40"/>
        <v/>
      </c>
      <c r="AK31" s="10" t="str">
        <f t="shared" si="40"/>
        <v/>
      </c>
      <c r="AL31" s="10" t="str">
        <f t="shared" si="40"/>
        <v/>
      </c>
      <c r="AM31" s="10" t="str">
        <f t="shared" si="40"/>
        <v/>
      </c>
      <c r="AN31" s="10" t="str">
        <f t="shared" si="40"/>
        <v/>
      </c>
      <c r="AO31" s="10" t="str">
        <f t="shared" si="40"/>
        <v/>
      </c>
      <c r="AP31" s="10" t="str">
        <f t="shared" si="40"/>
        <v/>
      </c>
      <c r="AQ31" s="10" t="str">
        <f t="shared" si="40"/>
        <v/>
      </c>
      <c r="AR31" s="10" t="str">
        <f t="shared" si="40"/>
        <v/>
      </c>
      <c r="AS31" s="10" t="str">
        <f t="shared" si="40"/>
        <v/>
      </c>
      <c r="AT31" s="10" t="str">
        <f t="shared" si="40"/>
        <v/>
      </c>
      <c r="AU31" s="10" t="str">
        <f t="shared" si="40"/>
        <v/>
      </c>
      <c r="AV31" s="10" t="str">
        <f t="shared" si="40"/>
        <v/>
      </c>
      <c r="AW31" s="10" t="str">
        <f t="shared" si="40"/>
        <v/>
      </c>
      <c r="AX31" s="10" t="str">
        <f t="shared" si="40"/>
        <v/>
      </c>
      <c r="AY31" s="10" t="str">
        <f t="shared" si="40"/>
        <v/>
      </c>
      <c r="AZ31" s="10" t="str">
        <f t="shared" si="40"/>
        <v/>
      </c>
      <c r="BA31" s="10" t="str">
        <f t="shared" si="40"/>
        <v/>
      </c>
      <c r="BB31" s="10" t="str">
        <f t="shared" si="40"/>
        <v/>
      </c>
      <c r="BC31" s="10" t="str">
        <f t="shared" si="40"/>
        <v/>
      </c>
      <c r="BD31" s="10" t="str">
        <f t="shared" si="40"/>
        <v/>
      </c>
      <c r="BE31" s="10" t="str">
        <f t="shared" si="40"/>
        <v/>
      </c>
      <c r="BF31" s="10" t="str">
        <f t="shared" si="40"/>
        <v/>
      </c>
      <c r="BG31" s="10" t="str">
        <f t="shared" si="40"/>
        <v/>
      </c>
      <c r="BH31" s="10" t="str">
        <f t="shared" si="40"/>
        <v/>
      </c>
      <c r="BI31" s="10" t="str">
        <f t="shared" si="40"/>
        <v/>
      </c>
      <c r="BJ31" s="10" t="str">
        <f t="shared" si="40"/>
        <v/>
      </c>
      <c r="BK31" s="10" t="str">
        <f t="shared" si="40"/>
        <v/>
      </c>
      <c r="BL31" s="10" t="str">
        <f t="shared" si="40"/>
        <v/>
      </c>
      <c r="BM31" s="10" t="str">
        <f t="shared" si="40"/>
        <v/>
      </c>
      <c r="BN31" s="10" t="str">
        <f t="shared" si="40"/>
        <v/>
      </c>
      <c r="BO31" s="10" t="str">
        <f t="shared" si="40"/>
        <v/>
      </c>
      <c r="BP31" s="10" t="str">
        <f t="shared" si="40"/>
        <v/>
      </c>
      <c r="BQ31" s="10" t="str">
        <f t="shared" si="40"/>
        <v/>
      </c>
      <c r="BR31" s="10" t="str">
        <f t="shared" si="40"/>
        <v/>
      </c>
      <c r="BS31" s="10" t="str">
        <f t="shared" si="40"/>
        <v/>
      </c>
      <c r="BT31" s="10" t="str">
        <f t="shared" si="40"/>
        <v/>
      </c>
      <c r="BU31" s="10" t="str">
        <f t="shared" si="40"/>
        <v/>
      </c>
      <c r="BV31" s="10" t="str">
        <f t="shared" si="40"/>
        <v/>
      </c>
      <c r="BW31" s="10" t="str">
        <f t="shared" si="40"/>
        <v/>
      </c>
      <c r="BX31" s="10" t="str">
        <f t="shared" si="40"/>
        <v/>
      </c>
      <c r="BY31" s="10" t="str">
        <f t="shared" si="40"/>
        <v/>
      </c>
      <c r="BZ31" s="10" t="str">
        <f t="shared" si="40"/>
        <v/>
      </c>
      <c r="CA31" s="10" t="str">
        <f t="shared" si="40"/>
        <v/>
      </c>
      <c r="CB31" s="10" t="str">
        <f t="shared" si="40"/>
        <v/>
      </c>
      <c r="CC31" s="10" t="str">
        <f t="shared" si="40"/>
        <v/>
      </c>
      <c r="CD31" s="10" t="str">
        <f t="shared" si="40"/>
        <v/>
      </c>
      <c r="CE31" s="10" t="str">
        <f t="shared" si="40"/>
        <v/>
      </c>
      <c r="CF31" s="10" t="str">
        <f t="shared" si="40"/>
        <v/>
      </c>
      <c r="CG31" s="10" t="str">
        <f t="shared" si="40"/>
        <v/>
      </c>
      <c r="CH31" s="10" t="str">
        <f t="shared" si="40"/>
        <v/>
      </c>
      <c r="CI31" s="10" t="str">
        <f t="shared" si="40"/>
        <v/>
      </c>
      <c r="CJ31" s="10" t="str">
        <f t="shared" si="40"/>
        <v/>
      </c>
      <c r="CK31" s="10" t="str">
        <f t="shared" si="40"/>
        <v/>
      </c>
      <c r="CL31" s="10" t="str">
        <f t="shared" si="40"/>
        <v/>
      </c>
      <c r="CM31" s="10" t="str">
        <f t="shared" si="40"/>
        <v/>
      </c>
      <c r="CN31" s="10" t="str">
        <f t="shared" si="40"/>
        <v/>
      </c>
      <c r="CO31" s="10" t="str">
        <f t="shared" si="40"/>
        <v/>
      </c>
      <c r="CP31" s="10" t="str">
        <f t="shared" si="40"/>
        <v/>
      </c>
      <c r="CQ31" s="10" t="str">
        <f t="shared" si="40"/>
        <v/>
      </c>
      <c r="CR31" s="10" t="str">
        <f t="shared" si="40"/>
        <v/>
      </c>
      <c r="CS31" s="10" t="str">
        <f t="shared" si="40"/>
        <v/>
      </c>
      <c r="CT31" s="10" t="str">
        <f t="shared" si="40"/>
        <v/>
      </c>
      <c r="CU31" s="10" t="str">
        <f t="shared" si="40"/>
        <v/>
      </c>
      <c r="CV31" s="10" t="str">
        <f t="shared" si="40"/>
        <v/>
      </c>
      <c r="CW31" s="10" t="str">
        <f t="shared" si="40"/>
        <v/>
      </c>
      <c r="CX31" s="10" t="str">
        <f t="shared" si="40"/>
        <v/>
      </c>
      <c r="CY31" s="10" t="str">
        <f t="shared" si="40"/>
        <v/>
      </c>
      <c r="CZ31" s="10" t="str">
        <f t="shared" si="40"/>
        <v/>
      </c>
      <c r="DA31" s="10" t="str">
        <f t="shared" si="40"/>
        <v/>
      </c>
      <c r="DB31" s="10" t="str">
        <f t="shared" si="40"/>
        <v/>
      </c>
      <c r="DC31" s="10" t="str">
        <f t="shared" si="40"/>
        <v/>
      </c>
      <c r="DD31" s="10" t="str">
        <f t="shared" si="40"/>
        <v/>
      </c>
      <c r="DE31" s="10" t="str">
        <f t="shared" si="40"/>
        <v/>
      </c>
      <c r="DF31" s="10" t="str">
        <f t="shared" si="40"/>
        <v/>
      </c>
      <c r="DG31" s="10" t="str">
        <f t="shared" si="40"/>
        <v/>
      </c>
      <c r="DH31" s="10" t="str">
        <f t="shared" si="40"/>
        <v/>
      </c>
      <c r="DI31" s="10" t="str">
        <f t="shared" si="40"/>
        <v/>
      </c>
      <c r="DJ31" s="10" t="str">
        <f t="shared" si="40"/>
        <v/>
      </c>
    </row>
    <row r="32" spans="1:114" ht="13.5" customHeight="1">
      <c r="A32" s="1">
        <f>Gerenciamento!D32</f>
        <v>0</v>
      </c>
      <c r="B32" s="1" t="e">
        <f t="shared" si="2"/>
        <v>#VALUE!</v>
      </c>
      <c r="C32" s="2" t="e">
        <f t="shared" si="6"/>
        <v>#VALUE!</v>
      </c>
      <c r="D32" s="2" t="e">
        <f t="shared" si="7"/>
        <v>#VALUE!</v>
      </c>
      <c r="E32" s="2" t="e">
        <f t="shared" si="8"/>
        <v>#VALUE!</v>
      </c>
      <c r="F32" s="2" t="e">
        <f t="shared" si="9"/>
        <v>#VALUE!</v>
      </c>
      <c r="G32" s="5" t="e">
        <f t="shared" si="15"/>
        <v>#VALUE!</v>
      </c>
      <c r="H32" s="1" t="e">
        <f t="shared" si="10"/>
        <v>#VALUE!</v>
      </c>
      <c r="I32" s="1" t="e">
        <f t="shared" si="12"/>
        <v>#VALUE!</v>
      </c>
      <c r="J32" s="6" t="e">
        <f t="shared" si="3"/>
        <v>#VALUE!</v>
      </c>
      <c r="M32" s="9" t="b">
        <f t="shared" si="4"/>
        <v>0</v>
      </c>
      <c r="N32" s="10" t="e">
        <f t="shared" ref="N32:DJ32" si="41">IF(N$1&gt;$L$2,"",IF(N$1=$L$2,1,IF($L$2-N$1=$L$1-$M32,$L$3^($L$1-$M32),($L$3*N33*O33/(N33+($L$3-1)*O33)))))</f>
        <v>#DIV/0!</v>
      </c>
      <c r="O32" s="10" t="e">
        <f t="shared" si="41"/>
        <v>#DIV/0!</v>
      </c>
      <c r="P32" s="10">
        <f t="shared" si="41"/>
        <v>1</v>
      </c>
      <c r="Q32" s="10" t="str">
        <f t="shared" si="41"/>
        <v/>
      </c>
      <c r="R32" s="10" t="str">
        <f t="shared" si="41"/>
        <v/>
      </c>
      <c r="S32" s="10" t="str">
        <f t="shared" si="41"/>
        <v/>
      </c>
      <c r="T32" s="10" t="str">
        <f t="shared" si="41"/>
        <v/>
      </c>
      <c r="U32" s="10" t="str">
        <f t="shared" si="41"/>
        <v/>
      </c>
      <c r="V32" s="10" t="str">
        <f t="shared" si="41"/>
        <v/>
      </c>
      <c r="W32" s="10" t="str">
        <f t="shared" si="41"/>
        <v/>
      </c>
      <c r="X32" s="10" t="str">
        <f t="shared" si="41"/>
        <v/>
      </c>
      <c r="Y32" s="10" t="str">
        <f t="shared" si="41"/>
        <v/>
      </c>
      <c r="Z32" s="10" t="str">
        <f t="shared" si="41"/>
        <v/>
      </c>
      <c r="AA32" s="10" t="str">
        <f t="shared" si="41"/>
        <v/>
      </c>
      <c r="AB32" s="10" t="str">
        <f t="shared" si="41"/>
        <v/>
      </c>
      <c r="AC32" s="10" t="str">
        <f t="shared" si="41"/>
        <v/>
      </c>
      <c r="AD32" s="10" t="str">
        <f t="shared" si="41"/>
        <v/>
      </c>
      <c r="AE32" s="10" t="str">
        <f t="shared" si="41"/>
        <v/>
      </c>
      <c r="AF32" s="10" t="str">
        <f t="shared" si="41"/>
        <v/>
      </c>
      <c r="AG32" s="10" t="str">
        <f t="shared" si="41"/>
        <v/>
      </c>
      <c r="AH32" s="10" t="str">
        <f t="shared" si="41"/>
        <v/>
      </c>
      <c r="AI32" s="10" t="str">
        <f t="shared" si="41"/>
        <v/>
      </c>
      <c r="AJ32" s="10" t="str">
        <f t="shared" si="41"/>
        <v/>
      </c>
      <c r="AK32" s="10" t="str">
        <f t="shared" si="41"/>
        <v/>
      </c>
      <c r="AL32" s="10" t="str">
        <f t="shared" si="41"/>
        <v/>
      </c>
      <c r="AM32" s="10" t="str">
        <f t="shared" si="41"/>
        <v/>
      </c>
      <c r="AN32" s="10" t="str">
        <f t="shared" si="41"/>
        <v/>
      </c>
      <c r="AO32" s="10" t="str">
        <f t="shared" si="41"/>
        <v/>
      </c>
      <c r="AP32" s="10" t="str">
        <f t="shared" si="41"/>
        <v/>
      </c>
      <c r="AQ32" s="10" t="str">
        <f t="shared" si="41"/>
        <v/>
      </c>
      <c r="AR32" s="10" t="str">
        <f t="shared" si="41"/>
        <v/>
      </c>
      <c r="AS32" s="10" t="str">
        <f t="shared" si="41"/>
        <v/>
      </c>
      <c r="AT32" s="10" t="str">
        <f t="shared" si="41"/>
        <v/>
      </c>
      <c r="AU32" s="10" t="str">
        <f t="shared" si="41"/>
        <v/>
      </c>
      <c r="AV32" s="10" t="str">
        <f t="shared" si="41"/>
        <v/>
      </c>
      <c r="AW32" s="10" t="str">
        <f t="shared" si="41"/>
        <v/>
      </c>
      <c r="AX32" s="10" t="str">
        <f t="shared" si="41"/>
        <v/>
      </c>
      <c r="AY32" s="10" t="str">
        <f t="shared" si="41"/>
        <v/>
      </c>
      <c r="AZ32" s="10" t="str">
        <f t="shared" si="41"/>
        <v/>
      </c>
      <c r="BA32" s="10" t="str">
        <f t="shared" si="41"/>
        <v/>
      </c>
      <c r="BB32" s="10" t="str">
        <f t="shared" si="41"/>
        <v/>
      </c>
      <c r="BC32" s="10" t="str">
        <f t="shared" si="41"/>
        <v/>
      </c>
      <c r="BD32" s="10" t="str">
        <f t="shared" si="41"/>
        <v/>
      </c>
      <c r="BE32" s="10" t="str">
        <f t="shared" si="41"/>
        <v/>
      </c>
      <c r="BF32" s="10" t="str">
        <f t="shared" si="41"/>
        <v/>
      </c>
      <c r="BG32" s="10" t="str">
        <f t="shared" si="41"/>
        <v/>
      </c>
      <c r="BH32" s="10" t="str">
        <f t="shared" si="41"/>
        <v/>
      </c>
      <c r="BI32" s="10" t="str">
        <f t="shared" si="41"/>
        <v/>
      </c>
      <c r="BJ32" s="10" t="str">
        <f t="shared" si="41"/>
        <v/>
      </c>
      <c r="BK32" s="10" t="str">
        <f t="shared" si="41"/>
        <v/>
      </c>
      <c r="BL32" s="10" t="str">
        <f t="shared" si="41"/>
        <v/>
      </c>
      <c r="BM32" s="10" t="str">
        <f t="shared" si="41"/>
        <v/>
      </c>
      <c r="BN32" s="10" t="str">
        <f t="shared" si="41"/>
        <v/>
      </c>
      <c r="BO32" s="10" t="str">
        <f t="shared" si="41"/>
        <v/>
      </c>
      <c r="BP32" s="10" t="str">
        <f t="shared" si="41"/>
        <v/>
      </c>
      <c r="BQ32" s="10" t="str">
        <f t="shared" si="41"/>
        <v/>
      </c>
      <c r="BR32" s="10" t="str">
        <f t="shared" si="41"/>
        <v/>
      </c>
      <c r="BS32" s="10" t="str">
        <f t="shared" si="41"/>
        <v/>
      </c>
      <c r="BT32" s="10" t="str">
        <f t="shared" si="41"/>
        <v/>
      </c>
      <c r="BU32" s="10" t="str">
        <f t="shared" si="41"/>
        <v/>
      </c>
      <c r="BV32" s="10" t="str">
        <f t="shared" si="41"/>
        <v/>
      </c>
      <c r="BW32" s="10" t="str">
        <f t="shared" si="41"/>
        <v/>
      </c>
      <c r="BX32" s="10" t="str">
        <f t="shared" si="41"/>
        <v/>
      </c>
      <c r="BY32" s="10" t="str">
        <f t="shared" si="41"/>
        <v/>
      </c>
      <c r="BZ32" s="10" t="str">
        <f t="shared" si="41"/>
        <v/>
      </c>
      <c r="CA32" s="10" t="str">
        <f t="shared" si="41"/>
        <v/>
      </c>
      <c r="CB32" s="10" t="str">
        <f t="shared" si="41"/>
        <v/>
      </c>
      <c r="CC32" s="10" t="str">
        <f t="shared" si="41"/>
        <v/>
      </c>
      <c r="CD32" s="10" t="str">
        <f t="shared" si="41"/>
        <v/>
      </c>
      <c r="CE32" s="10" t="str">
        <f t="shared" si="41"/>
        <v/>
      </c>
      <c r="CF32" s="10" t="str">
        <f t="shared" si="41"/>
        <v/>
      </c>
      <c r="CG32" s="10" t="str">
        <f t="shared" si="41"/>
        <v/>
      </c>
      <c r="CH32" s="10" t="str">
        <f t="shared" si="41"/>
        <v/>
      </c>
      <c r="CI32" s="10" t="str">
        <f t="shared" si="41"/>
        <v/>
      </c>
      <c r="CJ32" s="10" t="str">
        <f t="shared" si="41"/>
        <v/>
      </c>
      <c r="CK32" s="10" t="str">
        <f t="shared" si="41"/>
        <v/>
      </c>
      <c r="CL32" s="10" t="str">
        <f t="shared" si="41"/>
        <v/>
      </c>
      <c r="CM32" s="10" t="str">
        <f t="shared" si="41"/>
        <v/>
      </c>
      <c r="CN32" s="10" t="str">
        <f t="shared" si="41"/>
        <v/>
      </c>
      <c r="CO32" s="10" t="str">
        <f t="shared" si="41"/>
        <v/>
      </c>
      <c r="CP32" s="10" t="str">
        <f t="shared" si="41"/>
        <v/>
      </c>
      <c r="CQ32" s="10" t="str">
        <f t="shared" si="41"/>
        <v/>
      </c>
      <c r="CR32" s="10" t="str">
        <f t="shared" si="41"/>
        <v/>
      </c>
      <c r="CS32" s="10" t="str">
        <f t="shared" si="41"/>
        <v/>
      </c>
      <c r="CT32" s="10" t="str">
        <f t="shared" si="41"/>
        <v/>
      </c>
      <c r="CU32" s="10" t="str">
        <f t="shared" si="41"/>
        <v/>
      </c>
      <c r="CV32" s="10" t="str">
        <f t="shared" si="41"/>
        <v/>
      </c>
      <c r="CW32" s="10" t="str">
        <f t="shared" si="41"/>
        <v/>
      </c>
      <c r="CX32" s="10" t="str">
        <f t="shared" si="41"/>
        <v/>
      </c>
      <c r="CY32" s="10" t="str">
        <f t="shared" si="41"/>
        <v/>
      </c>
      <c r="CZ32" s="10" t="str">
        <f t="shared" si="41"/>
        <v/>
      </c>
      <c r="DA32" s="10" t="str">
        <f t="shared" si="41"/>
        <v/>
      </c>
      <c r="DB32" s="10" t="str">
        <f t="shared" si="41"/>
        <v/>
      </c>
      <c r="DC32" s="10" t="str">
        <f t="shared" si="41"/>
        <v/>
      </c>
      <c r="DD32" s="10" t="str">
        <f t="shared" si="41"/>
        <v/>
      </c>
      <c r="DE32" s="10" t="str">
        <f t="shared" si="41"/>
        <v/>
      </c>
      <c r="DF32" s="10" t="str">
        <f t="shared" si="41"/>
        <v/>
      </c>
      <c r="DG32" s="10" t="str">
        <f t="shared" si="41"/>
        <v/>
      </c>
      <c r="DH32" s="10" t="str">
        <f t="shared" si="41"/>
        <v/>
      </c>
      <c r="DI32" s="10" t="str">
        <f t="shared" si="41"/>
        <v/>
      </c>
      <c r="DJ32" s="10" t="str">
        <f t="shared" si="41"/>
        <v/>
      </c>
    </row>
    <row r="33" spans="1:114" ht="13.5" customHeight="1">
      <c r="A33" s="1">
        <f>Gerenciamento!D33</f>
        <v>0</v>
      </c>
      <c r="B33" s="1" t="e">
        <f t="shared" si="2"/>
        <v>#VALUE!</v>
      </c>
      <c r="C33" s="2" t="e">
        <f t="shared" si="6"/>
        <v>#VALUE!</v>
      </c>
      <c r="D33" s="2" t="e">
        <f t="shared" si="7"/>
        <v>#VALUE!</v>
      </c>
      <c r="E33" s="2" t="e">
        <f t="shared" si="8"/>
        <v>#VALUE!</v>
      </c>
      <c r="F33" s="2" t="e">
        <f t="shared" si="9"/>
        <v>#VALUE!</v>
      </c>
      <c r="G33" s="5" t="e">
        <f t="shared" si="15"/>
        <v>#VALUE!</v>
      </c>
      <c r="H33" s="1" t="e">
        <f t="shared" si="10"/>
        <v>#VALUE!</v>
      </c>
      <c r="I33" s="1" t="e">
        <f t="shared" si="12"/>
        <v>#VALUE!</v>
      </c>
      <c r="J33" s="6" t="e">
        <f t="shared" si="3"/>
        <v>#VALUE!</v>
      </c>
      <c r="M33" s="9" t="b">
        <f t="shared" si="4"/>
        <v>0</v>
      </c>
      <c r="N33" s="10" t="e">
        <f t="shared" ref="N33:DJ33" si="42">IF(N$1&gt;$L$2,"",IF(N$1=$L$2,1,IF($L$2-N$1=$L$1-$M33,$L$3^($L$1-$M33),($L$3*N34*O34/(N34+($L$3-1)*O34)))))</f>
        <v>#DIV/0!</v>
      </c>
      <c r="O33" s="10" t="e">
        <f t="shared" si="42"/>
        <v>#DIV/0!</v>
      </c>
      <c r="P33" s="10">
        <f t="shared" si="42"/>
        <v>1</v>
      </c>
      <c r="Q33" s="10" t="str">
        <f t="shared" si="42"/>
        <v/>
      </c>
      <c r="R33" s="10" t="str">
        <f t="shared" si="42"/>
        <v/>
      </c>
      <c r="S33" s="10" t="str">
        <f t="shared" si="42"/>
        <v/>
      </c>
      <c r="T33" s="10" t="str">
        <f t="shared" si="42"/>
        <v/>
      </c>
      <c r="U33" s="10" t="str">
        <f t="shared" si="42"/>
        <v/>
      </c>
      <c r="V33" s="10" t="str">
        <f t="shared" si="42"/>
        <v/>
      </c>
      <c r="W33" s="10" t="str">
        <f t="shared" si="42"/>
        <v/>
      </c>
      <c r="X33" s="10" t="str">
        <f t="shared" si="42"/>
        <v/>
      </c>
      <c r="Y33" s="10" t="str">
        <f t="shared" si="42"/>
        <v/>
      </c>
      <c r="Z33" s="10" t="str">
        <f t="shared" si="42"/>
        <v/>
      </c>
      <c r="AA33" s="10" t="str">
        <f t="shared" si="42"/>
        <v/>
      </c>
      <c r="AB33" s="10" t="str">
        <f t="shared" si="42"/>
        <v/>
      </c>
      <c r="AC33" s="10" t="str">
        <f t="shared" si="42"/>
        <v/>
      </c>
      <c r="AD33" s="10" t="str">
        <f t="shared" si="42"/>
        <v/>
      </c>
      <c r="AE33" s="10" t="str">
        <f t="shared" si="42"/>
        <v/>
      </c>
      <c r="AF33" s="10" t="str">
        <f t="shared" si="42"/>
        <v/>
      </c>
      <c r="AG33" s="10" t="str">
        <f t="shared" si="42"/>
        <v/>
      </c>
      <c r="AH33" s="10" t="str">
        <f t="shared" si="42"/>
        <v/>
      </c>
      <c r="AI33" s="10" t="str">
        <f t="shared" si="42"/>
        <v/>
      </c>
      <c r="AJ33" s="10" t="str">
        <f t="shared" si="42"/>
        <v/>
      </c>
      <c r="AK33" s="10" t="str">
        <f t="shared" si="42"/>
        <v/>
      </c>
      <c r="AL33" s="10" t="str">
        <f t="shared" si="42"/>
        <v/>
      </c>
      <c r="AM33" s="10" t="str">
        <f t="shared" si="42"/>
        <v/>
      </c>
      <c r="AN33" s="10" t="str">
        <f t="shared" si="42"/>
        <v/>
      </c>
      <c r="AO33" s="10" t="str">
        <f t="shared" si="42"/>
        <v/>
      </c>
      <c r="AP33" s="10" t="str">
        <f t="shared" si="42"/>
        <v/>
      </c>
      <c r="AQ33" s="10" t="str">
        <f t="shared" si="42"/>
        <v/>
      </c>
      <c r="AR33" s="10" t="str">
        <f t="shared" si="42"/>
        <v/>
      </c>
      <c r="AS33" s="10" t="str">
        <f t="shared" si="42"/>
        <v/>
      </c>
      <c r="AT33" s="10" t="str">
        <f t="shared" si="42"/>
        <v/>
      </c>
      <c r="AU33" s="10" t="str">
        <f t="shared" si="42"/>
        <v/>
      </c>
      <c r="AV33" s="10" t="str">
        <f t="shared" si="42"/>
        <v/>
      </c>
      <c r="AW33" s="10" t="str">
        <f t="shared" si="42"/>
        <v/>
      </c>
      <c r="AX33" s="10" t="str">
        <f t="shared" si="42"/>
        <v/>
      </c>
      <c r="AY33" s="10" t="str">
        <f t="shared" si="42"/>
        <v/>
      </c>
      <c r="AZ33" s="10" t="str">
        <f t="shared" si="42"/>
        <v/>
      </c>
      <c r="BA33" s="10" t="str">
        <f t="shared" si="42"/>
        <v/>
      </c>
      <c r="BB33" s="10" t="str">
        <f t="shared" si="42"/>
        <v/>
      </c>
      <c r="BC33" s="10" t="str">
        <f t="shared" si="42"/>
        <v/>
      </c>
      <c r="BD33" s="10" t="str">
        <f t="shared" si="42"/>
        <v/>
      </c>
      <c r="BE33" s="10" t="str">
        <f t="shared" si="42"/>
        <v/>
      </c>
      <c r="BF33" s="10" t="str">
        <f t="shared" si="42"/>
        <v/>
      </c>
      <c r="BG33" s="10" t="str">
        <f t="shared" si="42"/>
        <v/>
      </c>
      <c r="BH33" s="10" t="str">
        <f t="shared" si="42"/>
        <v/>
      </c>
      <c r="BI33" s="10" t="str">
        <f t="shared" si="42"/>
        <v/>
      </c>
      <c r="BJ33" s="10" t="str">
        <f t="shared" si="42"/>
        <v/>
      </c>
      <c r="BK33" s="10" t="str">
        <f t="shared" si="42"/>
        <v/>
      </c>
      <c r="BL33" s="10" t="str">
        <f t="shared" si="42"/>
        <v/>
      </c>
      <c r="BM33" s="10" t="str">
        <f t="shared" si="42"/>
        <v/>
      </c>
      <c r="BN33" s="10" t="str">
        <f t="shared" si="42"/>
        <v/>
      </c>
      <c r="BO33" s="10" t="str">
        <f t="shared" si="42"/>
        <v/>
      </c>
      <c r="BP33" s="10" t="str">
        <f t="shared" si="42"/>
        <v/>
      </c>
      <c r="BQ33" s="10" t="str">
        <f t="shared" si="42"/>
        <v/>
      </c>
      <c r="BR33" s="10" t="str">
        <f t="shared" si="42"/>
        <v/>
      </c>
      <c r="BS33" s="10" t="str">
        <f t="shared" si="42"/>
        <v/>
      </c>
      <c r="BT33" s="10" t="str">
        <f t="shared" si="42"/>
        <v/>
      </c>
      <c r="BU33" s="10" t="str">
        <f t="shared" si="42"/>
        <v/>
      </c>
      <c r="BV33" s="10" t="str">
        <f t="shared" si="42"/>
        <v/>
      </c>
      <c r="BW33" s="10" t="str">
        <f t="shared" si="42"/>
        <v/>
      </c>
      <c r="BX33" s="10" t="str">
        <f t="shared" si="42"/>
        <v/>
      </c>
      <c r="BY33" s="10" t="str">
        <f t="shared" si="42"/>
        <v/>
      </c>
      <c r="BZ33" s="10" t="str">
        <f t="shared" si="42"/>
        <v/>
      </c>
      <c r="CA33" s="10" t="str">
        <f t="shared" si="42"/>
        <v/>
      </c>
      <c r="CB33" s="10" t="str">
        <f t="shared" si="42"/>
        <v/>
      </c>
      <c r="CC33" s="10" t="str">
        <f t="shared" si="42"/>
        <v/>
      </c>
      <c r="CD33" s="10" t="str">
        <f t="shared" si="42"/>
        <v/>
      </c>
      <c r="CE33" s="10" t="str">
        <f t="shared" si="42"/>
        <v/>
      </c>
      <c r="CF33" s="10" t="str">
        <f t="shared" si="42"/>
        <v/>
      </c>
      <c r="CG33" s="10" t="str">
        <f t="shared" si="42"/>
        <v/>
      </c>
      <c r="CH33" s="10" t="str">
        <f t="shared" si="42"/>
        <v/>
      </c>
      <c r="CI33" s="10" t="str">
        <f t="shared" si="42"/>
        <v/>
      </c>
      <c r="CJ33" s="10" t="str">
        <f t="shared" si="42"/>
        <v/>
      </c>
      <c r="CK33" s="10" t="str">
        <f t="shared" si="42"/>
        <v/>
      </c>
      <c r="CL33" s="10" t="str">
        <f t="shared" si="42"/>
        <v/>
      </c>
      <c r="CM33" s="10" t="str">
        <f t="shared" si="42"/>
        <v/>
      </c>
      <c r="CN33" s="10" t="str">
        <f t="shared" si="42"/>
        <v/>
      </c>
      <c r="CO33" s="10" t="str">
        <f t="shared" si="42"/>
        <v/>
      </c>
      <c r="CP33" s="10" t="str">
        <f t="shared" si="42"/>
        <v/>
      </c>
      <c r="CQ33" s="10" t="str">
        <f t="shared" si="42"/>
        <v/>
      </c>
      <c r="CR33" s="10" t="str">
        <f t="shared" si="42"/>
        <v/>
      </c>
      <c r="CS33" s="10" t="str">
        <f t="shared" si="42"/>
        <v/>
      </c>
      <c r="CT33" s="10" t="str">
        <f t="shared" si="42"/>
        <v/>
      </c>
      <c r="CU33" s="10" t="str">
        <f t="shared" si="42"/>
        <v/>
      </c>
      <c r="CV33" s="10" t="str">
        <f t="shared" si="42"/>
        <v/>
      </c>
      <c r="CW33" s="10" t="str">
        <f t="shared" si="42"/>
        <v/>
      </c>
      <c r="CX33" s="10" t="str">
        <f t="shared" si="42"/>
        <v/>
      </c>
      <c r="CY33" s="10" t="str">
        <f t="shared" si="42"/>
        <v/>
      </c>
      <c r="CZ33" s="10" t="str">
        <f t="shared" si="42"/>
        <v/>
      </c>
      <c r="DA33" s="10" t="str">
        <f t="shared" si="42"/>
        <v/>
      </c>
      <c r="DB33" s="10" t="str">
        <f t="shared" si="42"/>
        <v/>
      </c>
      <c r="DC33" s="10" t="str">
        <f t="shared" si="42"/>
        <v/>
      </c>
      <c r="DD33" s="10" t="str">
        <f t="shared" si="42"/>
        <v/>
      </c>
      <c r="DE33" s="10" t="str">
        <f t="shared" si="42"/>
        <v/>
      </c>
      <c r="DF33" s="10" t="str">
        <f t="shared" si="42"/>
        <v/>
      </c>
      <c r="DG33" s="10" t="str">
        <f t="shared" si="42"/>
        <v/>
      </c>
      <c r="DH33" s="10" t="str">
        <f t="shared" si="42"/>
        <v/>
      </c>
      <c r="DI33" s="10" t="str">
        <f t="shared" si="42"/>
        <v/>
      </c>
      <c r="DJ33" s="10" t="str">
        <f t="shared" si="42"/>
        <v/>
      </c>
    </row>
    <row r="34" spans="1:114" ht="13.5" customHeight="1">
      <c r="A34" s="1">
        <f>Gerenciamento!D34</f>
        <v>0</v>
      </c>
      <c r="B34" s="1" t="e">
        <f t="shared" si="2"/>
        <v>#VALUE!</v>
      </c>
      <c r="C34" s="2" t="e">
        <f t="shared" si="6"/>
        <v>#VALUE!</v>
      </c>
      <c r="D34" s="2" t="e">
        <f t="shared" si="7"/>
        <v>#VALUE!</v>
      </c>
      <c r="E34" s="2" t="e">
        <f t="shared" si="8"/>
        <v>#VALUE!</v>
      </c>
      <c r="F34" s="2" t="e">
        <f t="shared" si="9"/>
        <v>#VALUE!</v>
      </c>
      <c r="G34" s="5" t="e">
        <f t="shared" si="15"/>
        <v>#VALUE!</v>
      </c>
      <c r="H34" s="1" t="e">
        <f t="shared" si="10"/>
        <v>#VALUE!</v>
      </c>
      <c r="I34" s="1" t="e">
        <f t="shared" si="12"/>
        <v>#VALUE!</v>
      </c>
      <c r="J34" s="6" t="e">
        <f t="shared" si="3"/>
        <v>#VALUE!</v>
      </c>
      <c r="M34" s="9" t="b">
        <f t="shared" si="4"/>
        <v>0</v>
      </c>
      <c r="N34" s="10" t="e">
        <f t="shared" ref="N34:DJ34" si="43">IF(N$1&gt;$L$2,"",IF(N$1=$L$2,1,IF($L$2-N$1=$L$1-$M34,$L$3^($L$1-$M34),($L$3*N35*O35/(N35+($L$3-1)*O35)))))</f>
        <v>#DIV/0!</v>
      </c>
      <c r="O34" s="10" t="e">
        <f t="shared" si="43"/>
        <v>#DIV/0!</v>
      </c>
      <c r="P34" s="10">
        <f t="shared" si="43"/>
        <v>1</v>
      </c>
      <c r="Q34" s="10" t="str">
        <f t="shared" si="43"/>
        <v/>
      </c>
      <c r="R34" s="10" t="str">
        <f t="shared" si="43"/>
        <v/>
      </c>
      <c r="S34" s="10" t="str">
        <f t="shared" si="43"/>
        <v/>
      </c>
      <c r="T34" s="10" t="str">
        <f t="shared" si="43"/>
        <v/>
      </c>
      <c r="U34" s="10" t="str">
        <f t="shared" si="43"/>
        <v/>
      </c>
      <c r="V34" s="10" t="str">
        <f t="shared" si="43"/>
        <v/>
      </c>
      <c r="W34" s="10" t="str">
        <f t="shared" si="43"/>
        <v/>
      </c>
      <c r="X34" s="10" t="str">
        <f t="shared" si="43"/>
        <v/>
      </c>
      <c r="Y34" s="10" t="str">
        <f t="shared" si="43"/>
        <v/>
      </c>
      <c r="Z34" s="10" t="str">
        <f t="shared" si="43"/>
        <v/>
      </c>
      <c r="AA34" s="10" t="str">
        <f t="shared" si="43"/>
        <v/>
      </c>
      <c r="AB34" s="10" t="str">
        <f t="shared" si="43"/>
        <v/>
      </c>
      <c r="AC34" s="10" t="str">
        <f t="shared" si="43"/>
        <v/>
      </c>
      <c r="AD34" s="10" t="str">
        <f t="shared" si="43"/>
        <v/>
      </c>
      <c r="AE34" s="10" t="str">
        <f t="shared" si="43"/>
        <v/>
      </c>
      <c r="AF34" s="10" t="str">
        <f t="shared" si="43"/>
        <v/>
      </c>
      <c r="AG34" s="10" t="str">
        <f t="shared" si="43"/>
        <v/>
      </c>
      <c r="AH34" s="10" t="str">
        <f t="shared" si="43"/>
        <v/>
      </c>
      <c r="AI34" s="10" t="str">
        <f t="shared" si="43"/>
        <v/>
      </c>
      <c r="AJ34" s="10" t="str">
        <f t="shared" si="43"/>
        <v/>
      </c>
      <c r="AK34" s="10" t="str">
        <f t="shared" si="43"/>
        <v/>
      </c>
      <c r="AL34" s="10" t="str">
        <f t="shared" si="43"/>
        <v/>
      </c>
      <c r="AM34" s="10" t="str">
        <f t="shared" si="43"/>
        <v/>
      </c>
      <c r="AN34" s="10" t="str">
        <f t="shared" si="43"/>
        <v/>
      </c>
      <c r="AO34" s="10" t="str">
        <f t="shared" si="43"/>
        <v/>
      </c>
      <c r="AP34" s="10" t="str">
        <f t="shared" si="43"/>
        <v/>
      </c>
      <c r="AQ34" s="10" t="str">
        <f t="shared" si="43"/>
        <v/>
      </c>
      <c r="AR34" s="10" t="str">
        <f t="shared" si="43"/>
        <v/>
      </c>
      <c r="AS34" s="10" t="str">
        <f t="shared" si="43"/>
        <v/>
      </c>
      <c r="AT34" s="10" t="str">
        <f t="shared" si="43"/>
        <v/>
      </c>
      <c r="AU34" s="10" t="str">
        <f t="shared" si="43"/>
        <v/>
      </c>
      <c r="AV34" s="10" t="str">
        <f t="shared" si="43"/>
        <v/>
      </c>
      <c r="AW34" s="10" t="str">
        <f t="shared" si="43"/>
        <v/>
      </c>
      <c r="AX34" s="10" t="str">
        <f t="shared" si="43"/>
        <v/>
      </c>
      <c r="AY34" s="10" t="str">
        <f t="shared" si="43"/>
        <v/>
      </c>
      <c r="AZ34" s="10" t="str">
        <f t="shared" si="43"/>
        <v/>
      </c>
      <c r="BA34" s="10" t="str">
        <f t="shared" si="43"/>
        <v/>
      </c>
      <c r="BB34" s="10" t="str">
        <f t="shared" si="43"/>
        <v/>
      </c>
      <c r="BC34" s="10" t="str">
        <f t="shared" si="43"/>
        <v/>
      </c>
      <c r="BD34" s="10" t="str">
        <f t="shared" si="43"/>
        <v/>
      </c>
      <c r="BE34" s="10" t="str">
        <f t="shared" si="43"/>
        <v/>
      </c>
      <c r="BF34" s="10" t="str">
        <f t="shared" si="43"/>
        <v/>
      </c>
      <c r="BG34" s="10" t="str">
        <f t="shared" si="43"/>
        <v/>
      </c>
      <c r="BH34" s="10" t="str">
        <f t="shared" si="43"/>
        <v/>
      </c>
      <c r="BI34" s="10" t="str">
        <f t="shared" si="43"/>
        <v/>
      </c>
      <c r="BJ34" s="10" t="str">
        <f t="shared" si="43"/>
        <v/>
      </c>
      <c r="BK34" s="10" t="str">
        <f t="shared" si="43"/>
        <v/>
      </c>
      <c r="BL34" s="10" t="str">
        <f t="shared" si="43"/>
        <v/>
      </c>
      <c r="BM34" s="10" t="str">
        <f t="shared" si="43"/>
        <v/>
      </c>
      <c r="BN34" s="10" t="str">
        <f t="shared" si="43"/>
        <v/>
      </c>
      <c r="BO34" s="10" t="str">
        <f t="shared" si="43"/>
        <v/>
      </c>
      <c r="BP34" s="10" t="str">
        <f t="shared" si="43"/>
        <v/>
      </c>
      <c r="BQ34" s="10" t="str">
        <f t="shared" si="43"/>
        <v/>
      </c>
      <c r="BR34" s="10" t="str">
        <f t="shared" si="43"/>
        <v/>
      </c>
      <c r="BS34" s="10" t="str">
        <f t="shared" si="43"/>
        <v/>
      </c>
      <c r="BT34" s="10" t="str">
        <f t="shared" si="43"/>
        <v/>
      </c>
      <c r="BU34" s="10" t="str">
        <f t="shared" si="43"/>
        <v/>
      </c>
      <c r="BV34" s="10" t="str">
        <f t="shared" si="43"/>
        <v/>
      </c>
      <c r="BW34" s="10" t="str">
        <f t="shared" si="43"/>
        <v/>
      </c>
      <c r="BX34" s="10" t="str">
        <f t="shared" si="43"/>
        <v/>
      </c>
      <c r="BY34" s="10" t="str">
        <f t="shared" si="43"/>
        <v/>
      </c>
      <c r="BZ34" s="10" t="str">
        <f t="shared" si="43"/>
        <v/>
      </c>
      <c r="CA34" s="10" t="str">
        <f t="shared" si="43"/>
        <v/>
      </c>
      <c r="CB34" s="10" t="str">
        <f t="shared" si="43"/>
        <v/>
      </c>
      <c r="CC34" s="10" t="str">
        <f t="shared" si="43"/>
        <v/>
      </c>
      <c r="CD34" s="10" t="str">
        <f t="shared" si="43"/>
        <v/>
      </c>
      <c r="CE34" s="10" t="str">
        <f t="shared" si="43"/>
        <v/>
      </c>
      <c r="CF34" s="10" t="str">
        <f t="shared" si="43"/>
        <v/>
      </c>
      <c r="CG34" s="10" t="str">
        <f t="shared" si="43"/>
        <v/>
      </c>
      <c r="CH34" s="10" t="str">
        <f t="shared" si="43"/>
        <v/>
      </c>
      <c r="CI34" s="10" t="str">
        <f t="shared" si="43"/>
        <v/>
      </c>
      <c r="CJ34" s="10" t="str">
        <f t="shared" si="43"/>
        <v/>
      </c>
      <c r="CK34" s="10" t="str">
        <f t="shared" si="43"/>
        <v/>
      </c>
      <c r="CL34" s="10" t="str">
        <f t="shared" si="43"/>
        <v/>
      </c>
      <c r="CM34" s="10" t="str">
        <f t="shared" si="43"/>
        <v/>
      </c>
      <c r="CN34" s="10" t="str">
        <f t="shared" si="43"/>
        <v/>
      </c>
      <c r="CO34" s="10" t="str">
        <f t="shared" si="43"/>
        <v/>
      </c>
      <c r="CP34" s="10" t="str">
        <f t="shared" si="43"/>
        <v/>
      </c>
      <c r="CQ34" s="10" t="str">
        <f t="shared" si="43"/>
        <v/>
      </c>
      <c r="CR34" s="10" t="str">
        <f t="shared" si="43"/>
        <v/>
      </c>
      <c r="CS34" s="10" t="str">
        <f t="shared" si="43"/>
        <v/>
      </c>
      <c r="CT34" s="10" t="str">
        <f t="shared" si="43"/>
        <v/>
      </c>
      <c r="CU34" s="10" t="str">
        <f t="shared" si="43"/>
        <v/>
      </c>
      <c r="CV34" s="10" t="str">
        <f t="shared" si="43"/>
        <v/>
      </c>
      <c r="CW34" s="10" t="str">
        <f t="shared" si="43"/>
        <v/>
      </c>
      <c r="CX34" s="10" t="str">
        <f t="shared" si="43"/>
        <v/>
      </c>
      <c r="CY34" s="10" t="str">
        <f t="shared" si="43"/>
        <v/>
      </c>
      <c r="CZ34" s="10" t="str">
        <f t="shared" si="43"/>
        <v/>
      </c>
      <c r="DA34" s="10" t="str">
        <f t="shared" si="43"/>
        <v/>
      </c>
      <c r="DB34" s="10" t="str">
        <f t="shared" si="43"/>
        <v/>
      </c>
      <c r="DC34" s="10" t="str">
        <f t="shared" si="43"/>
        <v/>
      </c>
      <c r="DD34" s="10" t="str">
        <f t="shared" si="43"/>
        <v/>
      </c>
      <c r="DE34" s="10" t="str">
        <f t="shared" si="43"/>
        <v/>
      </c>
      <c r="DF34" s="10" t="str">
        <f t="shared" si="43"/>
        <v/>
      </c>
      <c r="DG34" s="10" t="str">
        <f t="shared" si="43"/>
        <v/>
      </c>
      <c r="DH34" s="10" t="str">
        <f t="shared" si="43"/>
        <v/>
      </c>
      <c r="DI34" s="10" t="str">
        <f t="shared" si="43"/>
        <v/>
      </c>
      <c r="DJ34" s="10" t="str">
        <f t="shared" si="43"/>
        <v/>
      </c>
    </row>
    <row r="35" spans="1:114" ht="13.5" customHeight="1">
      <c r="A35" s="1">
        <f>Gerenciamento!D35</f>
        <v>0</v>
      </c>
      <c r="B35" s="1" t="e">
        <f t="shared" si="2"/>
        <v>#VALUE!</v>
      </c>
      <c r="C35" s="2" t="e">
        <f t="shared" si="6"/>
        <v>#VALUE!</v>
      </c>
      <c r="D35" s="2" t="e">
        <f t="shared" si="7"/>
        <v>#VALUE!</v>
      </c>
      <c r="E35" s="2" t="e">
        <f t="shared" si="8"/>
        <v>#VALUE!</v>
      </c>
      <c r="F35" s="2" t="e">
        <f t="shared" si="9"/>
        <v>#VALUE!</v>
      </c>
      <c r="G35" s="5" t="e">
        <f t="shared" si="15"/>
        <v>#VALUE!</v>
      </c>
      <c r="H35" s="1" t="e">
        <f t="shared" si="10"/>
        <v>#VALUE!</v>
      </c>
      <c r="I35" s="1" t="e">
        <f t="shared" si="12"/>
        <v>#VALUE!</v>
      </c>
      <c r="J35" s="6" t="e">
        <f t="shared" si="3"/>
        <v>#VALUE!</v>
      </c>
      <c r="M35" s="9" t="b">
        <f t="shared" si="4"/>
        <v>0</v>
      </c>
      <c r="N35" s="10" t="e">
        <f t="shared" ref="N35:DJ35" si="44">IF(N$1&gt;$L$2,"",IF(N$1=$L$2,1,IF($L$2-N$1=$L$1-$M35,$L$3^($L$1-$M35),($L$3*N36*O36/(N36+($L$3-1)*O36)))))</f>
        <v>#DIV/0!</v>
      </c>
      <c r="O35" s="10" t="e">
        <f t="shared" si="44"/>
        <v>#DIV/0!</v>
      </c>
      <c r="P35" s="10">
        <f t="shared" si="44"/>
        <v>1</v>
      </c>
      <c r="Q35" s="10" t="str">
        <f t="shared" si="44"/>
        <v/>
      </c>
      <c r="R35" s="10" t="str">
        <f t="shared" si="44"/>
        <v/>
      </c>
      <c r="S35" s="10" t="str">
        <f t="shared" si="44"/>
        <v/>
      </c>
      <c r="T35" s="10" t="str">
        <f t="shared" si="44"/>
        <v/>
      </c>
      <c r="U35" s="10" t="str">
        <f t="shared" si="44"/>
        <v/>
      </c>
      <c r="V35" s="10" t="str">
        <f t="shared" si="44"/>
        <v/>
      </c>
      <c r="W35" s="10" t="str">
        <f t="shared" si="44"/>
        <v/>
      </c>
      <c r="X35" s="10" t="str">
        <f t="shared" si="44"/>
        <v/>
      </c>
      <c r="Y35" s="10" t="str">
        <f t="shared" si="44"/>
        <v/>
      </c>
      <c r="Z35" s="10" t="str">
        <f t="shared" si="44"/>
        <v/>
      </c>
      <c r="AA35" s="10" t="str">
        <f t="shared" si="44"/>
        <v/>
      </c>
      <c r="AB35" s="10" t="str">
        <f t="shared" si="44"/>
        <v/>
      </c>
      <c r="AC35" s="10" t="str">
        <f t="shared" si="44"/>
        <v/>
      </c>
      <c r="AD35" s="10" t="str">
        <f t="shared" si="44"/>
        <v/>
      </c>
      <c r="AE35" s="10" t="str">
        <f t="shared" si="44"/>
        <v/>
      </c>
      <c r="AF35" s="10" t="str">
        <f t="shared" si="44"/>
        <v/>
      </c>
      <c r="AG35" s="10" t="str">
        <f t="shared" si="44"/>
        <v/>
      </c>
      <c r="AH35" s="10" t="str">
        <f t="shared" si="44"/>
        <v/>
      </c>
      <c r="AI35" s="10" t="str">
        <f t="shared" si="44"/>
        <v/>
      </c>
      <c r="AJ35" s="10" t="str">
        <f t="shared" si="44"/>
        <v/>
      </c>
      <c r="AK35" s="10" t="str">
        <f t="shared" si="44"/>
        <v/>
      </c>
      <c r="AL35" s="10" t="str">
        <f t="shared" si="44"/>
        <v/>
      </c>
      <c r="AM35" s="10" t="str">
        <f t="shared" si="44"/>
        <v/>
      </c>
      <c r="AN35" s="10" t="str">
        <f t="shared" si="44"/>
        <v/>
      </c>
      <c r="AO35" s="10" t="str">
        <f t="shared" si="44"/>
        <v/>
      </c>
      <c r="AP35" s="10" t="str">
        <f t="shared" si="44"/>
        <v/>
      </c>
      <c r="AQ35" s="10" t="str">
        <f t="shared" si="44"/>
        <v/>
      </c>
      <c r="AR35" s="10" t="str">
        <f t="shared" si="44"/>
        <v/>
      </c>
      <c r="AS35" s="10" t="str">
        <f t="shared" si="44"/>
        <v/>
      </c>
      <c r="AT35" s="10" t="str">
        <f t="shared" si="44"/>
        <v/>
      </c>
      <c r="AU35" s="10" t="str">
        <f t="shared" si="44"/>
        <v/>
      </c>
      <c r="AV35" s="10" t="str">
        <f t="shared" si="44"/>
        <v/>
      </c>
      <c r="AW35" s="10" t="str">
        <f t="shared" si="44"/>
        <v/>
      </c>
      <c r="AX35" s="10" t="str">
        <f t="shared" si="44"/>
        <v/>
      </c>
      <c r="AY35" s="10" t="str">
        <f t="shared" si="44"/>
        <v/>
      </c>
      <c r="AZ35" s="10" t="str">
        <f t="shared" si="44"/>
        <v/>
      </c>
      <c r="BA35" s="10" t="str">
        <f t="shared" si="44"/>
        <v/>
      </c>
      <c r="BB35" s="10" t="str">
        <f t="shared" si="44"/>
        <v/>
      </c>
      <c r="BC35" s="10" t="str">
        <f t="shared" si="44"/>
        <v/>
      </c>
      <c r="BD35" s="10" t="str">
        <f t="shared" si="44"/>
        <v/>
      </c>
      <c r="BE35" s="10" t="str">
        <f t="shared" si="44"/>
        <v/>
      </c>
      <c r="BF35" s="10" t="str">
        <f t="shared" si="44"/>
        <v/>
      </c>
      <c r="BG35" s="10" t="str">
        <f t="shared" si="44"/>
        <v/>
      </c>
      <c r="BH35" s="10" t="str">
        <f t="shared" si="44"/>
        <v/>
      </c>
      <c r="BI35" s="10" t="str">
        <f t="shared" si="44"/>
        <v/>
      </c>
      <c r="BJ35" s="10" t="str">
        <f t="shared" si="44"/>
        <v/>
      </c>
      <c r="BK35" s="10" t="str">
        <f t="shared" si="44"/>
        <v/>
      </c>
      <c r="BL35" s="10" t="str">
        <f t="shared" si="44"/>
        <v/>
      </c>
      <c r="BM35" s="10" t="str">
        <f t="shared" si="44"/>
        <v/>
      </c>
      <c r="BN35" s="10" t="str">
        <f t="shared" si="44"/>
        <v/>
      </c>
      <c r="BO35" s="10" t="str">
        <f t="shared" si="44"/>
        <v/>
      </c>
      <c r="BP35" s="10" t="str">
        <f t="shared" si="44"/>
        <v/>
      </c>
      <c r="BQ35" s="10" t="str">
        <f t="shared" si="44"/>
        <v/>
      </c>
      <c r="BR35" s="10" t="str">
        <f t="shared" si="44"/>
        <v/>
      </c>
      <c r="BS35" s="10" t="str">
        <f t="shared" si="44"/>
        <v/>
      </c>
      <c r="BT35" s="10" t="str">
        <f t="shared" si="44"/>
        <v/>
      </c>
      <c r="BU35" s="10" t="str">
        <f t="shared" si="44"/>
        <v/>
      </c>
      <c r="BV35" s="10" t="str">
        <f t="shared" si="44"/>
        <v/>
      </c>
      <c r="BW35" s="10" t="str">
        <f t="shared" si="44"/>
        <v/>
      </c>
      <c r="BX35" s="10" t="str">
        <f t="shared" si="44"/>
        <v/>
      </c>
      <c r="BY35" s="10" t="str">
        <f t="shared" si="44"/>
        <v/>
      </c>
      <c r="BZ35" s="10" t="str">
        <f t="shared" si="44"/>
        <v/>
      </c>
      <c r="CA35" s="10" t="str">
        <f t="shared" si="44"/>
        <v/>
      </c>
      <c r="CB35" s="10" t="str">
        <f t="shared" si="44"/>
        <v/>
      </c>
      <c r="CC35" s="10" t="str">
        <f t="shared" si="44"/>
        <v/>
      </c>
      <c r="CD35" s="10" t="str">
        <f t="shared" si="44"/>
        <v/>
      </c>
      <c r="CE35" s="10" t="str">
        <f t="shared" si="44"/>
        <v/>
      </c>
      <c r="CF35" s="10" t="str">
        <f t="shared" si="44"/>
        <v/>
      </c>
      <c r="CG35" s="10" t="str">
        <f t="shared" si="44"/>
        <v/>
      </c>
      <c r="CH35" s="10" t="str">
        <f t="shared" si="44"/>
        <v/>
      </c>
      <c r="CI35" s="10" t="str">
        <f t="shared" si="44"/>
        <v/>
      </c>
      <c r="CJ35" s="10" t="str">
        <f t="shared" si="44"/>
        <v/>
      </c>
      <c r="CK35" s="10" t="str">
        <f t="shared" si="44"/>
        <v/>
      </c>
      <c r="CL35" s="10" t="str">
        <f t="shared" si="44"/>
        <v/>
      </c>
      <c r="CM35" s="10" t="str">
        <f t="shared" si="44"/>
        <v/>
      </c>
      <c r="CN35" s="10" t="str">
        <f t="shared" si="44"/>
        <v/>
      </c>
      <c r="CO35" s="10" t="str">
        <f t="shared" si="44"/>
        <v/>
      </c>
      <c r="CP35" s="10" t="str">
        <f t="shared" si="44"/>
        <v/>
      </c>
      <c r="CQ35" s="10" t="str">
        <f t="shared" si="44"/>
        <v/>
      </c>
      <c r="CR35" s="10" t="str">
        <f t="shared" si="44"/>
        <v/>
      </c>
      <c r="CS35" s="10" t="str">
        <f t="shared" si="44"/>
        <v/>
      </c>
      <c r="CT35" s="10" t="str">
        <f t="shared" si="44"/>
        <v/>
      </c>
      <c r="CU35" s="10" t="str">
        <f t="shared" si="44"/>
        <v/>
      </c>
      <c r="CV35" s="10" t="str">
        <f t="shared" si="44"/>
        <v/>
      </c>
      <c r="CW35" s="10" t="str">
        <f t="shared" si="44"/>
        <v/>
      </c>
      <c r="CX35" s="10" t="str">
        <f t="shared" si="44"/>
        <v/>
      </c>
      <c r="CY35" s="10" t="str">
        <f t="shared" si="44"/>
        <v/>
      </c>
      <c r="CZ35" s="10" t="str">
        <f t="shared" si="44"/>
        <v/>
      </c>
      <c r="DA35" s="10" t="str">
        <f t="shared" si="44"/>
        <v/>
      </c>
      <c r="DB35" s="10" t="str">
        <f t="shared" si="44"/>
        <v/>
      </c>
      <c r="DC35" s="10" t="str">
        <f t="shared" si="44"/>
        <v/>
      </c>
      <c r="DD35" s="10" t="str">
        <f t="shared" si="44"/>
        <v/>
      </c>
      <c r="DE35" s="10" t="str">
        <f t="shared" si="44"/>
        <v/>
      </c>
      <c r="DF35" s="10" t="str">
        <f t="shared" si="44"/>
        <v/>
      </c>
      <c r="DG35" s="10" t="str">
        <f t="shared" si="44"/>
        <v/>
      </c>
      <c r="DH35" s="10" t="str">
        <f t="shared" si="44"/>
        <v/>
      </c>
      <c r="DI35" s="10" t="str">
        <f t="shared" si="44"/>
        <v/>
      </c>
      <c r="DJ35" s="10" t="str">
        <f t="shared" si="44"/>
        <v/>
      </c>
    </row>
    <row r="36" spans="1:114" ht="13.5" customHeight="1">
      <c r="A36" s="1">
        <f>Gerenciamento!D36</f>
        <v>0</v>
      </c>
      <c r="B36" s="1" t="e">
        <f t="shared" si="2"/>
        <v>#VALUE!</v>
      </c>
      <c r="C36" s="2" t="e">
        <f t="shared" si="6"/>
        <v>#VALUE!</v>
      </c>
      <c r="D36" s="2" t="e">
        <f t="shared" si="7"/>
        <v>#VALUE!</v>
      </c>
      <c r="E36" s="2" t="e">
        <f t="shared" si="8"/>
        <v>#VALUE!</v>
      </c>
      <c r="F36" s="2" t="e">
        <f t="shared" si="9"/>
        <v>#VALUE!</v>
      </c>
      <c r="G36" s="5" t="e">
        <f t="shared" si="15"/>
        <v>#VALUE!</v>
      </c>
      <c r="H36" s="1" t="e">
        <f t="shared" si="10"/>
        <v>#VALUE!</v>
      </c>
      <c r="I36" s="1" t="e">
        <f t="shared" si="12"/>
        <v>#VALUE!</v>
      </c>
      <c r="J36" s="6" t="e">
        <f t="shared" si="3"/>
        <v>#VALUE!</v>
      </c>
      <c r="M36" s="9" t="b">
        <f t="shared" si="4"/>
        <v>0</v>
      </c>
      <c r="N36" s="10" t="e">
        <f t="shared" ref="N36:DJ36" si="45">IF(N$1&gt;$L$2,"",IF(N$1=$L$2,1,IF($L$2-N$1=$L$1-$M36,$L$3^($L$1-$M36),($L$3*N37*O37/(N37+($L$3-1)*O37)))))</f>
        <v>#DIV/0!</v>
      </c>
      <c r="O36" s="10" t="e">
        <f t="shared" si="45"/>
        <v>#DIV/0!</v>
      </c>
      <c r="P36" s="10">
        <f t="shared" si="45"/>
        <v>1</v>
      </c>
      <c r="Q36" s="10" t="str">
        <f t="shared" si="45"/>
        <v/>
      </c>
      <c r="R36" s="10" t="str">
        <f t="shared" si="45"/>
        <v/>
      </c>
      <c r="S36" s="10" t="str">
        <f t="shared" si="45"/>
        <v/>
      </c>
      <c r="T36" s="10" t="str">
        <f t="shared" si="45"/>
        <v/>
      </c>
      <c r="U36" s="10" t="str">
        <f t="shared" si="45"/>
        <v/>
      </c>
      <c r="V36" s="10" t="str">
        <f t="shared" si="45"/>
        <v/>
      </c>
      <c r="W36" s="10" t="str">
        <f t="shared" si="45"/>
        <v/>
      </c>
      <c r="X36" s="10" t="str">
        <f t="shared" si="45"/>
        <v/>
      </c>
      <c r="Y36" s="10" t="str">
        <f t="shared" si="45"/>
        <v/>
      </c>
      <c r="Z36" s="10" t="str">
        <f t="shared" si="45"/>
        <v/>
      </c>
      <c r="AA36" s="10" t="str">
        <f t="shared" si="45"/>
        <v/>
      </c>
      <c r="AB36" s="10" t="str">
        <f t="shared" si="45"/>
        <v/>
      </c>
      <c r="AC36" s="10" t="str">
        <f t="shared" si="45"/>
        <v/>
      </c>
      <c r="AD36" s="10" t="str">
        <f t="shared" si="45"/>
        <v/>
      </c>
      <c r="AE36" s="10" t="str">
        <f t="shared" si="45"/>
        <v/>
      </c>
      <c r="AF36" s="10" t="str">
        <f t="shared" si="45"/>
        <v/>
      </c>
      <c r="AG36" s="10" t="str">
        <f t="shared" si="45"/>
        <v/>
      </c>
      <c r="AH36" s="10" t="str">
        <f t="shared" si="45"/>
        <v/>
      </c>
      <c r="AI36" s="10" t="str">
        <f t="shared" si="45"/>
        <v/>
      </c>
      <c r="AJ36" s="10" t="str">
        <f t="shared" si="45"/>
        <v/>
      </c>
      <c r="AK36" s="10" t="str">
        <f t="shared" si="45"/>
        <v/>
      </c>
      <c r="AL36" s="10" t="str">
        <f t="shared" si="45"/>
        <v/>
      </c>
      <c r="AM36" s="10" t="str">
        <f t="shared" si="45"/>
        <v/>
      </c>
      <c r="AN36" s="10" t="str">
        <f t="shared" si="45"/>
        <v/>
      </c>
      <c r="AO36" s="10" t="str">
        <f t="shared" si="45"/>
        <v/>
      </c>
      <c r="AP36" s="10" t="str">
        <f t="shared" si="45"/>
        <v/>
      </c>
      <c r="AQ36" s="10" t="str">
        <f t="shared" si="45"/>
        <v/>
      </c>
      <c r="AR36" s="10" t="str">
        <f t="shared" si="45"/>
        <v/>
      </c>
      <c r="AS36" s="10" t="str">
        <f t="shared" si="45"/>
        <v/>
      </c>
      <c r="AT36" s="10" t="str">
        <f t="shared" si="45"/>
        <v/>
      </c>
      <c r="AU36" s="10" t="str">
        <f t="shared" si="45"/>
        <v/>
      </c>
      <c r="AV36" s="10" t="str">
        <f t="shared" si="45"/>
        <v/>
      </c>
      <c r="AW36" s="10" t="str">
        <f t="shared" si="45"/>
        <v/>
      </c>
      <c r="AX36" s="10" t="str">
        <f t="shared" si="45"/>
        <v/>
      </c>
      <c r="AY36" s="10" t="str">
        <f t="shared" si="45"/>
        <v/>
      </c>
      <c r="AZ36" s="10" t="str">
        <f t="shared" si="45"/>
        <v/>
      </c>
      <c r="BA36" s="10" t="str">
        <f t="shared" si="45"/>
        <v/>
      </c>
      <c r="BB36" s="10" t="str">
        <f t="shared" si="45"/>
        <v/>
      </c>
      <c r="BC36" s="10" t="str">
        <f t="shared" si="45"/>
        <v/>
      </c>
      <c r="BD36" s="10" t="str">
        <f t="shared" si="45"/>
        <v/>
      </c>
      <c r="BE36" s="10" t="str">
        <f t="shared" si="45"/>
        <v/>
      </c>
      <c r="BF36" s="10" t="str">
        <f t="shared" si="45"/>
        <v/>
      </c>
      <c r="BG36" s="10" t="str">
        <f t="shared" si="45"/>
        <v/>
      </c>
      <c r="BH36" s="10" t="str">
        <f t="shared" si="45"/>
        <v/>
      </c>
      <c r="BI36" s="10" t="str">
        <f t="shared" si="45"/>
        <v/>
      </c>
      <c r="BJ36" s="10" t="str">
        <f t="shared" si="45"/>
        <v/>
      </c>
      <c r="BK36" s="10" t="str">
        <f t="shared" si="45"/>
        <v/>
      </c>
      <c r="BL36" s="10" t="str">
        <f t="shared" si="45"/>
        <v/>
      </c>
      <c r="BM36" s="10" t="str">
        <f t="shared" si="45"/>
        <v/>
      </c>
      <c r="BN36" s="10" t="str">
        <f t="shared" si="45"/>
        <v/>
      </c>
      <c r="BO36" s="10" t="str">
        <f t="shared" si="45"/>
        <v/>
      </c>
      <c r="BP36" s="10" t="str">
        <f t="shared" si="45"/>
        <v/>
      </c>
      <c r="BQ36" s="10" t="str">
        <f t="shared" si="45"/>
        <v/>
      </c>
      <c r="BR36" s="10" t="str">
        <f t="shared" si="45"/>
        <v/>
      </c>
      <c r="BS36" s="10" t="str">
        <f t="shared" si="45"/>
        <v/>
      </c>
      <c r="BT36" s="10" t="str">
        <f t="shared" si="45"/>
        <v/>
      </c>
      <c r="BU36" s="10" t="str">
        <f t="shared" si="45"/>
        <v/>
      </c>
      <c r="BV36" s="10" t="str">
        <f t="shared" si="45"/>
        <v/>
      </c>
      <c r="BW36" s="10" t="str">
        <f t="shared" si="45"/>
        <v/>
      </c>
      <c r="BX36" s="10" t="str">
        <f t="shared" si="45"/>
        <v/>
      </c>
      <c r="BY36" s="10" t="str">
        <f t="shared" si="45"/>
        <v/>
      </c>
      <c r="BZ36" s="10" t="str">
        <f t="shared" si="45"/>
        <v/>
      </c>
      <c r="CA36" s="10" t="str">
        <f t="shared" si="45"/>
        <v/>
      </c>
      <c r="CB36" s="10" t="str">
        <f t="shared" si="45"/>
        <v/>
      </c>
      <c r="CC36" s="10" t="str">
        <f t="shared" si="45"/>
        <v/>
      </c>
      <c r="CD36" s="10" t="str">
        <f t="shared" si="45"/>
        <v/>
      </c>
      <c r="CE36" s="10" t="str">
        <f t="shared" si="45"/>
        <v/>
      </c>
      <c r="CF36" s="10" t="str">
        <f t="shared" si="45"/>
        <v/>
      </c>
      <c r="CG36" s="10" t="str">
        <f t="shared" si="45"/>
        <v/>
      </c>
      <c r="CH36" s="10" t="str">
        <f t="shared" si="45"/>
        <v/>
      </c>
      <c r="CI36" s="10" t="str">
        <f t="shared" si="45"/>
        <v/>
      </c>
      <c r="CJ36" s="10" t="str">
        <f t="shared" si="45"/>
        <v/>
      </c>
      <c r="CK36" s="10" t="str">
        <f t="shared" si="45"/>
        <v/>
      </c>
      <c r="CL36" s="10" t="str">
        <f t="shared" si="45"/>
        <v/>
      </c>
      <c r="CM36" s="10" t="str">
        <f t="shared" si="45"/>
        <v/>
      </c>
      <c r="CN36" s="10" t="str">
        <f t="shared" si="45"/>
        <v/>
      </c>
      <c r="CO36" s="10" t="str">
        <f t="shared" si="45"/>
        <v/>
      </c>
      <c r="CP36" s="10" t="str">
        <f t="shared" si="45"/>
        <v/>
      </c>
      <c r="CQ36" s="10" t="str">
        <f t="shared" si="45"/>
        <v/>
      </c>
      <c r="CR36" s="10" t="str">
        <f t="shared" si="45"/>
        <v/>
      </c>
      <c r="CS36" s="10" t="str">
        <f t="shared" si="45"/>
        <v/>
      </c>
      <c r="CT36" s="10" t="str">
        <f t="shared" si="45"/>
        <v/>
      </c>
      <c r="CU36" s="10" t="str">
        <f t="shared" si="45"/>
        <v/>
      </c>
      <c r="CV36" s="10" t="str">
        <f t="shared" si="45"/>
        <v/>
      </c>
      <c r="CW36" s="10" t="str">
        <f t="shared" si="45"/>
        <v/>
      </c>
      <c r="CX36" s="10" t="str">
        <f t="shared" si="45"/>
        <v/>
      </c>
      <c r="CY36" s="10" t="str">
        <f t="shared" si="45"/>
        <v/>
      </c>
      <c r="CZ36" s="10" t="str">
        <f t="shared" si="45"/>
        <v/>
      </c>
      <c r="DA36" s="10" t="str">
        <f t="shared" si="45"/>
        <v/>
      </c>
      <c r="DB36" s="10" t="str">
        <f t="shared" si="45"/>
        <v/>
      </c>
      <c r="DC36" s="10" t="str">
        <f t="shared" si="45"/>
        <v/>
      </c>
      <c r="DD36" s="10" t="str">
        <f t="shared" si="45"/>
        <v/>
      </c>
      <c r="DE36" s="10" t="str">
        <f t="shared" si="45"/>
        <v/>
      </c>
      <c r="DF36" s="10" t="str">
        <f t="shared" si="45"/>
        <v/>
      </c>
      <c r="DG36" s="10" t="str">
        <f t="shared" si="45"/>
        <v/>
      </c>
      <c r="DH36" s="10" t="str">
        <f t="shared" si="45"/>
        <v/>
      </c>
      <c r="DI36" s="10" t="str">
        <f t="shared" si="45"/>
        <v/>
      </c>
      <c r="DJ36" s="10" t="str">
        <f t="shared" si="45"/>
        <v/>
      </c>
    </row>
    <row r="37" spans="1:114" ht="13.5" customHeight="1">
      <c r="A37" s="1">
        <f>Gerenciamento!D37</f>
        <v>0</v>
      </c>
      <c r="B37" s="1" t="e">
        <f t="shared" si="2"/>
        <v>#VALUE!</v>
      </c>
      <c r="C37" s="2" t="e">
        <f t="shared" si="6"/>
        <v>#VALUE!</v>
      </c>
      <c r="D37" s="2" t="e">
        <f t="shared" si="7"/>
        <v>#VALUE!</v>
      </c>
      <c r="E37" s="2" t="e">
        <f t="shared" si="8"/>
        <v>#VALUE!</v>
      </c>
      <c r="F37" s="2" t="e">
        <f t="shared" si="9"/>
        <v>#VALUE!</v>
      </c>
      <c r="G37" s="5" t="e">
        <f t="shared" si="15"/>
        <v>#VALUE!</v>
      </c>
      <c r="H37" s="1" t="e">
        <f t="shared" si="10"/>
        <v>#VALUE!</v>
      </c>
      <c r="I37" s="1" t="e">
        <f t="shared" si="12"/>
        <v>#VALUE!</v>
      </c>
      <c r="J37" s="6" t="e">
        <f t="shared" si="3"/>
        <v>#VALUE!</v>
      </c>
      <c r="M37" s="9" t="b">
        <f t="shared" si="4"/>
        <v>0</v>
      </c>
      <c r="N37" s="10" t="e">
        <f t="shared" ref="N37:DJ37" si="46">IF(N$1&gt;$L$2,"",IF(N$1=$L$2,1,IF($L$2-N$1=$L$1-$M37,$L$3^($L$1-$M37),($L$3*N38*O38/(N38+($L$3-1)*O38)))))</f>
        <v>#DIV/0!</v>
      </c>
      <c r="O37" s="10" t="e">
        <f t="shared" si="46"/>
        <v>#DIV/0!</v>
      </c>
      <c r="P37" s="10">
        <f t="shared" si="46"/>
        <v>1</v>
      </c>
      <c r="Q37" s="10" t="str">
        <f t="shared" si="46"/>
        <v/>
      </c>
      <c r="R37" s="10" t="str">
        <f t="shared" si="46"/>
        <v/>
      </c>
      <c r="S37" s="10" t="str">
        <f t="shared" si="46"/>
        <v/>
      </c>
      <c r="T37" s="10" t="str">
        <f t="shared" si="46"/>
        <v/>
      </c>
      <c r="U37" s="10" t="str">
        <f t="shared" si="46"/>
        <v/>
      </c>
      <c r="V37" s="10" t="str">
        <f t="shared" si="46"/>
        <v/>
      </c>
      <c r="W37" s="10" t="str">
        <f t="shared" si="46"/>
        <v/>
      </c>
      <c r="X37" s="10" t="str">
        <f t="shared" si="46"/>
        <v/>
      </c>
      <c r="Y37" s="10" t="str">
        <f t="shared" si="46"/>
        <v/>
      </c>
      <c r="Z37" s="10" t="str">
        <f t="shared" si="46"/>
        <v/>
      </c>
      <c r="AA37" s="10" t="str">
        <f t="shared" si="46"/>
        <v/>
      </c>
      <c r="AB37" s="10" t="str">
        <f t="shared" si="46"/>
        <v/>
      </c>
      <c r="AC37" s="10" t="str">
        <f t="shared" si="46"/>
        <v/>
      </c>
      <c r="AD37" s="10" t="str">
        <f t="shared" si="46"/>
        <v/>
      </c>
      <c r="AE37" s="10" t="str">
        <f t="shared" si="46"/>
        <v/>
      </c>
      <c r="AF37" s="10" t="str">
        <f t="shared" si="46"/>
        <v/>
      </c>
      <c r="AG37" s="10" t="str">
        <f t="shared" si="46"/>
        <v/>
      </c>
      <c r="AH37" s="10" t="str">
        <f t="shared" si="46"/>
        <v/>
      </c>
      <c r="AI37" s="10" t="str">
        <f t="shared" si="46"/>
        <v/>
      </c>
      <c r="AJ37" s="10" t="str">
        <f t="shared" si="46"/>
        <v/>
      </c>
      <c r="AK37" s="10" t="str">
        <f t="shared" si="46"/>
        <v/>
      </c>
      <c r="AL37" s="10" t="str">
        <f t="shared" si="46"/>
        <v/>
      </c>
      <c r="AM37" s="10" t="str">
        <f t="shared" si="46"/>
        <v/>
      </c>
      <c r="AN37" s="10" t="str">
        <f t="shared" si="46"/>
        <v/>
      </c>
      <c r="AO37" s="10" t="str">
        <f t="shared" si="46"/>
        <v/>
      </c>
      <c r="AP37" s="10" t="str">
        <f t="shared" si="46"/>
        <v/>
      </c>
      <c r="AQ37" s="10" t="str">
        <f t="shared" si="46"/>
        <v/>
      </c>
      <c r="AR37" s="10" t="str">
        <f t="shared" si="46"/>
        <v/>
      </c>
      <c r="AS37" s="10" t="str">
        <f t="shared" si="46"/>
        <v/>
      </c>
      <c r="AT37" s="10" t="str">
        <f t="shared" si="46"/>
        <v/>
      </c>
      <c r="AU37" s="10" t="str">
        <f t="shared" si="46"/>
        <v/>
      </c>
      <c r="AV37" s="10" t="str">
        <f t="shared" si="46"/>
        <v/>
      </c>
      <c r="AW37" s="10" t="str">
        <f t="shared" si="46"/>
        <v/>
      </c>
      <c r="AX37" s="10" t="str">
        <f t="shared" si="46"/>
        <v/>
      </c>
      <c r="AY37" s="10" t="str">
        <f t="shared" si="46"/>
        <v/>
      </c>
      <c r="AZ37" s="10" t="str">
        <f t="shared" si="46"/>
        <v/>
      </c>
      <c r="BA37" s="10" t="str">
        <f t="shared" si="46"/>
        <v/>
      </c>
      <c r="BB37" s="10" t="str">
        <f t="shared" si="46"/>
        <v/>
      </c>
      <c r="BC37" s="10" t="str">
        <f t="shared" si="46"/>
        <v/>
      </c>
      <c r="BD37" s="10" t="str">
        <f t="shared" si="46"/>
        <v/>
      </c>
      <c r="BE37" s="10" t="str">
        <f t="shared" si="46"/>
        <v/>
      </c>
      <c r="BF37" s="10" t="str">
        <f t="shared" si="46"/>
        <v/>
      </c>
      <c r="BG37" s="10" t="str">
        <f t="shared" si="46"/>
        <v/>
      </c>
      <c r="BH37" s="10" t="str">
        <f t="shared" si="46"/>
        <v/>
      </c>
      <c r="BI37" s="10" t="str">
        <f t="shared" si="46"/>
        <v/>
      </c>
      <c r="BJ37" s="10" t="str">
        <f t="shared" si="46"/>
        <v/>
      </c>
      <c r="BK37" s="10" t="str">
        <f t="shared" si="46"/>
        <v/>
      </c>
      <c r="BL37" s="10" t="str">
        <f t="shared" si="46"/>
        <v/>
      </c>
      <c r="BM37" s="10" t="str">
        <f t="shared" si="46"/>
        <v/>
      </c>
      <c r="BN37" s="10" t="str">
        <f t="shared" si="46"/>
        <v/>
      </c>
      <c r="BO37" s="10" t="str">
        <f t="shared" si="46"/>
        <v/>
      </c>
      <c r="BP37" s="10" t="str">
        <f t="shared" si="46"/>
        <v/>
      </c>
      <c r="BQ37" s="10" t="str">
        <f t="shared" si="46"/>
        <v/>
      </c>
      <c r="BR37" s="10" t="str">
        <f t="shared" si="46"/>
        <v/>
      </c>
      <c r="BS37" s="10" t="str">
        <f t="shared" si="46"/>
        <v/>
      </c>
      <c r="BT37" s="10" t="str">
        <f t="shared" si="46"/>
        <v/>
      </c>
      <c r="BU37" s="10" t="str">
        <f t="shared" si="46"/>
        <v/>
      </c>
      <c r="BV37" s="10" t="str">
        <f t="shared" si="46"/>
        <v/>
      </c>
      <c r="BW37" s="10" t="str">
        <f t="shared" si="46"/>
        <v/>
      </c>
      <c r="BX37" s="10" t="str">
        <f t="shared" si="46"/>
        <v/>
      </c>
      <c r="BY37" s="10" t="str">
        <f t="shared" si="46"/>
        <v/>
      </c>
      <c r="BZ37" s="10" t="str">
        <f t="shared" si="46"/>
        <v/>
      </c>
      <c r="CA37" s="10" t="str">
        <f t="shared" si="46"/>
        <v/>
      </c>
      <c r="CB37" s="10" t="str">
        <f t="shared" si="46"/>
        <v/>
      </c>
      <c r="CC37" s="10" t="str">
        <f t="shared" si="46"/>
        <v/>
      </c>
      <c r="CD37" s="10" t="str">
        <f t="shared" si="46"/>
        <v/>
      </c>
      <c r="CE37" s="10" t="str">
        <f t="shared" si="46"/>
        <v/>
      </c>
      <c r="CF37" s="10" t="str">
        <f t="shared" si="46"/>
        <v/>
      </c>
      <c r="CG37" s="10" t="str">
        <f t="shared" si="46"/>
        <v/>
      </c>
      <c r="CH37" s="10" t="str">
        <f t="shared" si="46"/>
        <v/>
      </c>
      <c r="CI37" s="10" t="str">
        <f t="shared" si="46"/>
        <v/>
      </c>
      <c r="CJ37" s="10" t="str">
        <f t="shared" si="46"/>
        <v/>
      </c>
      <c r="CK37" s="10" t="str">
        <f t="shared" si="46"/>
        <v/>
      </c>
      <c r="CL37" s="10" t="str">
        <f t="shared" si="46"/>
        <v/>
      </c>
      <c r="CM37" s="10" t="str">
        <f t="shared" si="46"/>
        <v/>
      </c>
      <c r="CN37" s="10" t="str">
        <f t="shared" si="46"/>
        <v/>
      </c>
      <c r="CO37" s="10" t="str">
        <f t="shared" si="46"/>
        <v/>
      </c>
      <c r="CP37" s="10" t="str">
        <f t="shared" si="46"/>
        <v/>
      </c>
      <c r="CQ37" s="10" t="str">
        <f t="shared" si="46"/>
        <v/>
      </c>
      <c r="CR37" s="10" t="str">
        <f t="shared" si="46"/>
        <v/>
      </c>
      <c r="CS37" s="10" t="str">
        <f t="shared" si="46"/>
        <v/>
      </c>
      <c r="CT37" s="10" t="str">
        <f t="shared" si="46"/>
        <v/>
      </c>
      <c r="CU37" s="10" t="str">
        <f t="shared" si="46"/>
        <v/>
      </c>
      <c r="CV37" s="10" t="str">
        <f t="shared" si="46"/>
        <v/>
      </c>
      <c r="CW37" s="10" t="str">
        <f t="shared" si="46"/>
        <v/>
      </c>
      <c r="CX37" s="10" t="str">
        <f t="shared" si="46"/>
        <v/>
      </c>
      <c r="CY37" s="10" t="str">
        <f t="shared" si="46"/>
        <v/>
      </c>
      <c r="CZ37" s="10" t="str">
        <f t="shared" si="46"/>
        <v/>
      </c>
      <c r="DA37" s="10" t="str">
        <f t="shared" si="46"/>
        <v/>
      </c>
      <c r="DB37" s="10" t="str">
        <f t="shared" si="46"/>
        <v/>
      </c>
      <c r="DC37" s="10" t="str">
        <f t="shared" si="46"/>
        <v/>
      </c>
      <c r="DD37" s="10" t="str">
        <f t="shared" si="46"/>
        <v/>
      </c>
      <c r="DE37" s="10" t="str">
        <f t="shared" si="46"/>
        <v/>
      </c>
      <c r="DF37" s="10" t="str">
        <f t="shared" si="46"/>
        <v/>
      </c>
      <c r="DG37" s="10" t="str">
        <f t="shared" si="46"/>
        <v/>
      </c>
      <c r="DH37" s="10" t="str">
        <f t="shared" si="46"/>
        <v/>
      </c>
      <c r="DI37" s="10" t="str">
        <f t="shared" si="46"/>
        <v/>
      </c>
      <c r="DJ37" s="10" t="str">
        <f t="shared" si="46"/>
        <v/>
      </c>
    </row>
    <row r="38" spans="1:114" ht="13.5" customHeight="1">
      <c r="A38" s="1">
        <f>Gerenciamento!D38</f>
        <v>0</v>
      </c>
      <c r="B38" s="1" t="e">
        <f t="shared" si="2"/>
        <v>#VALUE!</v>
      </c>
      <c r="C38" s="2" t="e">
        <f t="shared" si="6"/>
        <v>#VALUE!</v>
      </c>
      <c r="D38" s="2" t="e">
        <f t="shared" si="7"/>
        <v>#VALUE!</v>
      </c>
      <c r="E38" s="2" t="e">
        <f t="shared" si="8"/>
        <v>#VALUE!</v>
      </c>
      <c r="F38" s="2" t="e">
        <f t="shared" si="9"/>
        <v>#VALUE!</v>
      </c>
      <c r="G38" s="5" t="e">
        <f t="shared" si="15"/>
        <v>#VALUE!</v>
      </c>
      <c r="H38" s="1" t="e">
        <f t="shared" si="10"/>
        <v>#VALUE!</v>
      </c>
      <c r="I38" s="1" t="e">
        <f t="shared" si="12"/>
        <v>#VALUE!</v>
      </c>
      <c r="J38" s="6" t="e">
        <f t="shared" si="3"/>
        <v>#VALUE!</v>
      </c>
      <c r="M38" s="9" t="b">
        <f t="shared" si="4"/>
        <v>0</v>
      </c>
      <c r="N38" s="10" t="e">
        <f t="shared" ref="N38:DJ38" si="47">IF(N$1&gt;$L$2,"",IF(N$1=$L$2,1,IF($L$2-N$1=$L$1-$M38,$L$3^($L$1-$M38),($L$3*N39*O39/(N39+($L$3-1)*O39)))))</f>
        <v>#DIV/0!</v>
      </c>
      <c r="O38" s="10" t="e">
        <f t="shared" si="47"/>
        <v>#DIV/0!</v>
      </c>
      <c r="P38" s="10">
        <f t="shared" si="47"/>
        <v>1</v>
      </c>
      <c r="Q38" s="10" t="str">
        <f t="shared" si="47"/>
        <v/>
      </c>
      <c r="R38" s="10" t="str">
        <f t="shared" si="47"/>
        <v/>
      </c>
      <c r="S38" s="10" t="str">
        <f t="shared" si="47"/>
        <v/>
      </c>
      <c r="T38" s="10" t="str">
        <f t="shared" si="47"/>
        <v/>
      </c>
      <c r="U38" s="10" t="str">
        <f t="shared" si="47"/>
        <v/>
      </c>
      <c r="V38" s="10" t="str">
        <f t="shared" si="47"/>
        <v/>
      </c>
      <c r="W38" s="10" t="str">
        <f t="shared" si="47"/>
        <v/>
      </c>
      <c r="X38" s="10" t="str">
        <f t="shared" si="47"/>
        <v/>
      </c>
      <c r="Y38" s="10" t="str">
        <f t="shared" si="47"/>
        <v/>
      </c>
      <c r="Z38" s="10" t="str">
        <f t="shared" si="47"/>
        <v/>
      </c>
      <c r="AA38" s="10" t="str">
        <f t="shared" si="47"/>
        <v/>
      </c>
      <c r="AB38" s="10" t="str">
        <f t="shared" si="47"/>
        <v/>
      </c>
      <c r="AC38" s="10" t="str">
        <f t="shared" si="47"/>
        <v/>
      </c>
      <c r="AD38" s="10" t="str">
        <f t="shared" si="47"/>
        <v/>
      </c>
      <c r="AE38" s="10" t="str">
        <f t="shared" si="47"/>
        <v/>
      </c>
      <c r="AF38" s="10" t="str">
        <f t="shared" si="47"/>
        <v/>
      </c>
      <c r="AG38" s="10" t="str">
        <f t="shared" si="47"/>
        <v/>
      </c>
      <c r="AH38" s="10" t="str">
        <f t="shared" si="47"/>
        <v/>
      </c>
      <c r="AI38" s="10" t="str">
        <f t="shared" si="47"/>
        <v/>
      </c>
      <c r="AJ38" s="10" t="str">
        <f t="shared" si="47"/>
        <v/>
      </c>
      <c r="AK38" s="10" t="str">
        <f t="shared" si="47"/>
        <v/>
      </c>
      <c r="AL38" s="10" t="str">
        <f t="shared" si="47"/>
        <v/>
      </c>
      <c r="AM38" s="10" t="str">
        <f t="shared" si="47"/>
        <v/>
      </c>
      <c r="AN38" s="10" t="str">
        <f t="shared" si="47"/>
        <v/>
      </c>
      <c r="AO38" s="10" t="str">
        <f t="shared" si="47"/>
        <v/>
      </c>
      <c r="AP38" s="10" t="str">
        <f t="shared" si="47"/>
        <v/>
      </c>
      <c r="AQ38" s="10" t="str">
        <f t="shared" si="47"/>
        <v/>
      </c>
      <c r="AR38" s="10" t="str">
        <f t="shared" si="47"/>
        <v/>
      </c>
      <c r="AS38" s="10" t="str">
        <f t="shared" si="47"/>
        <v/>
      </c>
      <c r="AT38" s="10" t="str">
        <f t="shared" si="47"/>
        <v/>
      </c>
      <c r="AU38" s="10" t="str">
        <f t="shared" si="47"/>
        <v/>
      </c>
      <c r="AV38" s="10" t="str">
        <f t="shared" si="47"/>
        <v/>
      </c>
      <c r="AW38" s="10" t="str">
        <f t="shared" si="47"/>
        <v/>
      </c>
      <c r="AX38" s="10" t="str">
        <f t="shared" si="47"/>
        <v/>
      </c>
      <c r="AY38" s="10" t="str">
        <f t="shared" si="47"/>
        <v/>
      </c>
      <c r="AZ38" s="10" t="str">
        <f t="shared" si="47"/>
        <v/>
      </c>
      <c r="BA38" s="10" t="str">
        <f t="shared" si="47"/>
        <v/>
      </c>
      <c r="BB38" s="10" t="str">
        <f t="shared" si="47"/>
        <v/>
      </c>
      <c r="BC38" s="10" t="str">
        <f t="shared" si="47"/>
        <v/>
      </c>
      <c r="BD38" s="10" t="str">
        <f t="shared" si="47"/>
        <v/>
      </c>
      <c r="BE38" s="10" t="str">
        <f t="shared" si="47"/>
        <v/>
      </c>
      <c r="BF38" s="10" t="str">
        <f t="shared" si="47"/>
        <v/>
      </c>
      <c r="BG38" s="10" t="str">
        <f t="shared" si="47"/>
        <v/>
      </c>
      <c r="BH38" s="10" t="str">
        <f t="shared" si="47"/>
        <v/>
      </c>
      <c r="BI38" s="10" t="str">
        <f t="shared" si="47"/>
        <v/>
      </c>
      <c r="BJ38" s="10" t="str">
        <f t="shared" si="47"/>
        <v/>
      </c>
      <c r="BK38" s="10" t="str">
        <f t="shared" si="47"/>
        <v/>
      </c>
      <c r="BL38" s="10" t="str">
        <f t="shared" si="47"/>
        <v/>
      </c>
      <c r="BM38" s="10" t="str">
        <f t="shared" si="47"/>
        <v/>
      </c>
      <c r="BN38" s="10" t="str">
        <f t="shared" si="47"/>
        <v/>
      </c>
      <c r="BO38" s="10" t="str">
        <f t="shared" si="47"/>
        <v/>
      </c>
      <c r="BP38" s="10" t="str">
        <f t="shared" si="47"/>
        <v/>
      </c>
      <c r="BQ38" s="10" t="str">
        <f t="shared" si="47"/>
        <v/>
      </c>
      <c r="BR38" s="10" t="str">
        <f t="shared" si="47"/>
        <v/>
      </c>
      <c r="BS38" s="10" t="str">
        <f t="shared" si="47"/>
        <v/>
      </c>
      <c r="BT38" s="10" t="str">
        <f t="shared" si="47"/>
        <v/>
      </c>
      <c r="BU38" s="10" t="str">
        <f t="shared" si="47"/>
        <v/>
      </c>
      <c r="BV38" s="10" t="str">
        <f t="shared" si="47"/>
        <v/>
      </c>
      <c r="BW38" s="10" t="str">
        <f t="shared" si="47"/>
        <v/>
      </c>
      <c r="BX38" s="10" t="str">
        <f t="shared" si="47"/>
        <v/>
      </c>
      <c r="BY38" s="10" t="str">
        <f t="shared" si="47"/>
        <v/>
      </c>
      <c r="BZ38" s="10" t="str">
        <f t="shared" si="47"/>
        <v/>
      </c>
      <c r="CA38" s="10" t="str">
        <f t="shared" si="47"/>
        <v/>
      </c>
      <c r="CB38" s="10" t="str">
        <f t="shared" si="47"/>
        <v/>
      </c>
      <c r="CC38" s="10" t="str">
        <f t="shared" si="47"/>
        <v/>
      </c>
      <c r="CD38" s="10" t="str">
        <f t="shared" si="47"/>
        <v/>
      </c>
      <c r="CE38" s="10" t="str">
        <f t="shared" si="47"/>
        <v/>
      </c>
      <c r="CF38" s="10" t="str">
        <f t="shared" si="47"/>
        <v/>
      </c>
      <c r="CG38" s="10" t="str">
        <f t="shared" si="47"/>
        <v/>
      </c>
      <c r="CH38" s="10" t="str">
        <f t="shared" si="47"/>
        <v/>
      </c>
      <c r="CI38" s="10" t="str">
        <f t="shared" si="47"/>
        <v/>
      </c>
      <c r="CJ38" s="10" t="str">
        <f t="shared" si="47"/>
        <v/>
      </c>
      <c r="CK38" s="10" t="str">
        <f t="shared" si="47"/>
        <v/>
      </c>
      <c r="CL38" s="10" t="str">
        <f t="shared" si="47"/>
        <v/>
      </c>
      <c r="CM38" s="10" t="str">
        <f t="shared" si="47"/>
        <v/>
      </c>
      <c r="CN38" s="10" t="str">
        <f t="shared" si="47"/>
        <v/>
      </c>
      <c r="CO38" s="10" t="str">
        <f t="shared" si="47"/>
        <v/>
      </c>
      <c r="CP38" s="10" t="str">
        <f t="shared" si="47"/>
        <v/>
      </c>
      <c r="CQ38" s="10" t="str">
        <f t="shared" si="47"/>
        <v/>
      </c>
      <c r="CR38" s="10" t="str">
        <f t="shared" si="47"/>
        <v/>
      </c>
      <c r="CS38" s="10" t="str">
        <f t="shared" si="47"/>
        <v/>
      </c>
      <c r="CT38" s="10" t="str">
        <f t="shared" si="47"/>
        <v/>
      </c>
      <c r="CU38" s="10" t="str">
        <f t="shared" si="47"/>
        <v/>
      </c>
      <c r="CV38" s="10" t="str">
        <f t="shared" si="47"/>
        <v/>
      </c>
      <c r="CW38" s="10" t="str">
        <f t="shared" si="47"/>
        <v/>
      </c>
      <c r="CX38" s="10" t="str">
        <f t="shared" si="47"/>
        <v/>
      </c>
      <c r="CY38" s="10" t="str">
        <f t="shared" si="47"/>
        <v/>
      </c>
      <c r="CZ38" s="10" t="str">
        <f t="shared" si="47"/>
        <v/>
      </c>
      <c r="DA38" s="10" t="str">
        <f t="shared" si="47"/>
        <v/>
      </c>
      <c r="DB38" s="10" t="str">
        <f t="shared" si="47"/>
        <v/>
      </c>
      <c r="DC38" s="10" t="str">
        <f t="shared" si="47"/>
        <v/>
      </c>
      <c r="DD38" s="10" t="str">
        <f t="shared" si="47"/>
        <v/>
      </c>
      <c r="DE38" s="10" t="str">
        <f t="shared" si="47"/>
        <v/>
      </c>
      <c r="DF38" s="10" t="str">
        <f t="shared" si="47"/>
        <v/>
      </c>
      <c r="DG38" s="10" t="str">
        <f t="shared" si="47"/>
        <v/>
      </c>
      <c r="DH38" s="10" t="str">
        <f t="shared" si="47"/>
        <v/>
      </c>
      <c r="DI38" s="10" t="str">
        <f t="shared" si="47"/>
        <v/>
      </c>
      <c r="DJ38" s="10" t="str">
        <f t="shared" si="47"/>
        <v/>
      </c>
    </row>
    <row r="39" spans="1:114" ht="13.5" customHeight="1">
      <c r="A39" s="1">
        <f>Gerenciamento!D39</f>
        <v>0</v>
      </c>
      <c r="B39" s="1" t="e">
        <f t="shared" si="2"/>
        <v>#VALUE!</v>
      </c>
      <c r="C39" s="2" t="e">
        <f t="shared" si="6"/>
        <v>#VALUE!</v>
      </c>
      <c r="D39" s="2" t="e">
        <f t="shared" si="7"/>
        <v>#VALUE!</v>
      </c>
      <c r="E39" s="2" t="e">
        <f t="shared" si="8"/>
        <v>#VALUE!</v>
      </c>
      <c r="F39" s="2" t="e">
        <f t="shared" si="9"/>
        <v>#VALUE!</v>
      </c>
      <c r="G39" s="5" t="e">
        <f t="shared" si="15"/>
        <v>#VALUE!</v>
      </c>
      <c r="H39" s="1" t="e">
        <f t="shared" si="10"/>
        <v>#VALUE!</v>
      </c>
      <c r="I39" s="1" t="e">
        <f t="shared" si="12"/>
        <v>#VALUE!</v>
      </c>
      <c r="J39" s="6" t="e">
        <f t="shared" si="3"/>
        <v>#VALUE!</v>
      </c>
      <c r="M39" s="9" t="b">
        <f t="shared" si="4"/>
        <v>0</v>
      </c>
      <c r="N39" s="10" t="e">
        <f t="shared" ref="N39:DJ39" si="48">IF(N$1&gt;$L$2,"",IF(N$1=$L$2,1,IF($L$2-N$1=$L$1-$M39,$L$3^($L$1-$M39),($L$3*N40*O40/(N40+($L$3-1)*O40)))))</f>
        <v>#DIV/0!</v>
      </c>
      <c r="O39" s="10" t="e">
        <f t="shared" si="48"/>
        <v>#DIV/0!</v>
      </c>
      <c r="P39" s="10">
        <f t="shared" si="48"/>
        <v>1</v>
      </c>
      <c r="Q39" s="10" t="str">
        <f t="shared" si="48"/>
        <v/>
      </c>
      <c r="R39" s="10" t="str">
        <f t="shared" si="48"/>
        <v/>
      </c>
      <c r="S39" s="10" t="str">
        <f t="shared" si="48"/>
        <v/>
      </c>
      <c r="T39" s="10" t="str">
        <f t="shared" si="48"/>
        <v/>
      </c>
      <c r="U39" s="10" t="str">
        <f t="shared" si="48"/>
        <v/>
      </c>
      <c r="V39" s="10" t="str">
        <f t="shared" si="48"/>
        <v/>
      </c>
      <c r="W39" s="10" t="str">
        <f t="shared" si="48"/>
        <v/>
      </c>
      <c r="X39" s="10" t="str">
        <f t="shared" si="48"/>
        <v/>
      </c>
      <c r="Y39" s="10" t="str">
        <f t="shared" si="48"/>
        <v/>
      </c>
      <c r="Z39" s="10" t="str">
        <f t="shared" si="48"/>
        <v/>
      </c>
      <c r="AA39" s="10" t="str">
        <f t="shared" si="48"/>
        <v/>
      </c>
      <c r="AB39" s="10" t="str">
        <f t="shared" si="48"/>
        <v/>
      </c>
      <c r="AC39" s="10" t="str">
        <f t="shared" si="48"/>
        <v/>
      </c>
      <c r="AD39" s="10" t="str">
        <f t="shared" si="48"/>
        <v/>
      </c>
      <c r="AE39" s="10" t="str">
        <f t="shared" si="48"/>
        <v/>
      </c>
      <c r="AF39" s="10" t="str">
        <f t="shared" si="48"/>
        <v/>
      </c>
      <c r="AG39" s="10" t="str">
        <f t="shared" si="48"/>
        <v/>
      </c>
      <c r="AH39" s="10" t="str">
        <f t="shared" si="48"/>
        <v/>
      </c>
      <c r="AI39" s="10" t="str">
        <f t="shared" si="48"/>
        <v/>
      </c>
      <c r="AJ39" s="10" t="str">
        <f t="shared" si="48"/>
        <v/>
      </c>
      <c r="AK39" s="10" t="str">
        <f t="shared" si="48"/>
        <v/>
      </c>
      <c r="AL39" s="10" t="str">
        <f t="shared" si="48"/>
        <v/>
      </c>
      <c r="AM39" s="10" t="str">
        <f t="shared" si="48"/>
        <v/>
      </c>
      <c r="AN39" s="10" t="str">
        <f t="shared" si="48"/>
        <v/>
      </c>
      <c r="AO39" s="10" t="str">
        <f t="shared" si="48"/>
        <v/>
      </c>
      <c r="AP39" s="10" t="str">
        <f t="shared" si="48"/>
        <v/>
      </c>
      <c r="AQ39" s="10" t="str">
        <f t="shared" si="48"/>
        <v/>
      </c>
      <c r="AR39" s="10" t="str">
        <f t="shared" si="48"/>
        <v/>
      </c>
      <c r="AS39" s="10" t="str">
        <f t="shared" si="48"/>
        <v/>
      </c>
      <c r="AT39" s="10" t="str">
        <f t="shared" si="48"/>
        <v/>
      </c>
      <c r="AU39" s="10" t="str">
        <f t="shared" si="48"/>
        <v/>
      </c>
      <c r="AV39" s="10" t="str">
        <f t="shared" si="48"/>
        <v/>
      </c>
      <c r="AW39" s="10" t="str">
        <f t="shared" si="48"/>
        <v/>
      </c>
      <c r="AX39" s="10" t="str">
        <f t="shared" si="48"/>
        <v/>
      </c>
      <c r="AY39" s="10" t="str">
        <f t="shared" si="48"/>
        <v/>
      </c>
      <c r="AZ39" s="10" t="str">
        <f t="shared" si="48"/>
        <v/>
      </c>
      <c r="BA39" s="10" t="str">
        <f t="shared" si="48"/>
        <v/>
      </c>
      <c r="BB39" s="10" t="str">
        <f t="shared" si="48"/>
        <v/>
      </c>
      <c r="BC39" s="10" t="str">
        <f t="shared" si="48"/>
        <v/>
      </c>
      <c r="BD39" s="10" t="str">
        <f t="shared" si="48"/>
        <v/>
      </c>
      <c r="BE39" s="10" t="str">
        <f t="shared" si="48"/>
        <v/>
      </c>
      <c r="BF39" s="10" t="str">
        <f t="shared" si="48"/>
        <v/>
      </c>
      <c r="BG39" s="10" t="str">
        <f t="shared" si="48"/>
        <v/>
      </c>
      <c r="BH39" s="10" t="str">
        <f t="shared" si="48"/>
        <v/>
      </c>
      <c r="BI39" s="10" t="str">
        <f t="shared" si="48"/>
        <v/>
      </c>
      <c r="BJ39" s="10" t="str">
        <f t="shared" si="48"/>
        <v/>
      </c>
      <c r="BK39" s="10" t="str">
        <f t="shared" si="48"/>
        <v/>
      </c>
      <c r="BL39" s="10" t="str">
        <f t="shared" si="48"/>
        <v/>
      </c>
      <c r="BM39" s="10" t="str">
        <f t="shared" si="48"/>
        <v/>
      </c>
      <c r="BN39" s="10" t="str">
        <f t="shared" si="48"/>
        <v/>
      </c>
      <c r="BO39" s="10" t="str">
        <f t="shared" si="48"/>
        <v/>
      </c>
      <c r="BP39" s="10" t="str">
        <f t="shared" si="48"/>
        <v/>
      </c>
      <c r="BQ39" s="10" t="str">
        <f t="shared" si="48"/>
        <v/>
      </c>
      <c r="BR39" s="10" t="str">
        <f t="shared" si="48"/>
        <v/>
      </c>
      <c r="BS39" s="10" t="str">
        <f t="shared" si="48"/>
        <v/>
      </c>
      <c r="BT39" s="10" t="str">
        <f t="shared" si="48"/>
        <v/>
      </c>
      <c r="BU39" s="10" t="str">
        <f t="shared" si="48"/>
        <v/>
      </c>
      <c r="BV39" s="10" t="str">
        <f t="shared" si="48"/>
        <v/>
      </c>
      <c r="BW39" s="10" t="str">
        <f t="shared" si="48"/>
        <v/>
      </c>
      <c r="BX39" s="10" t="str">
        <f t="shared" si="48"/>
        <v/>
      </c>
      <c r="BY39" s="10" t="str">
        <f t="shared" si="48"/>
        <v/>
      </c>
      <c r="BZ39" s="10" t="str">
        <f t="shared" si="48"/>
        <v/>
      </c>
      <c r="CA39" s="10" t="str">
        <f t="shared" si="48"/>
        <v/>
      </c>
      <c r="CB39" s="10" t="str">
        <f t="shared" si="48"/>
        <v/>
      </c>
      <c r="CC39" s="10" t="str">
        <f t="shared" si="48"/>
        <v/>
      </c>
      <c r="CD39" s="10" t="str">
        <f t="shared" si="48"/>
        <v/>
      </c>
      <c r="CE39" s="10" t="str">
        <f t="shared" si="48"/>
        <v/>
      </c>
      <c r="CF39" s="10" t="str">
        <f t="shared" si="48"/>
        <v/>
      </c>
      <c r="CG39" s="10" t="str">
        <f t="shared" si="48"/>
        <v/>
      </c>
      <c r="CH39" s="10" t="str">
        <f t="shared" si="48"/>
        <v/>
      </c>
      <c r="CI39" s="10" t="str">
        <f t="shared" si="48"/>
        <v/>
      </c>
      <c r="CJ39" s="10" t="str">
        <f t="shared" si="48"/>
        <v/>
      </c>
      <c r="CK39" s="10" t="str">
        <f t="shared" si="48"/>
        <v/>
      </c>
      <c r="CL39" s="10" t="str">
        <f t="shared" si="48"/>
        <v/>
      </c>
      <c r="CM39" s="10" t="str">
        <f t="shared" si="48"/>
        <v/>
      </c>
      <c r="CN39" s="10" t="str">
        <f t="shared" si="48"/>
        <v/>
      </c>
      <c r="CO39" s="10" t="str">
        <f t="shared" si="48"/>
        <v/>
      </c>
      <c r="CP39" s="10" t="str">
        <f t="shared" si="48"/>
        <v/>
      </c>
      <c r="CQ39" s="10" t="str">
        <f t="shared" si="48"/>
        <v/>
      </c>
      <c r="CR39" s="10" t="str">
        <f t="shared" si="48"/>
        <v/>
      </c>
      <c r="CS39" s="10" t="str">
        <f t="shared" si="48"/>
        <v/>
      </c>
      <c r="CT39" s="10" t="str">
        <f t="shared" si="48"/>
        <v/>
      </c>
      <c r="CU39" s="10" t="str">
        <f t="shared" si="48"/>
        <v/>
      </c>
      <c r="CV39" s="10" t="str">
        <f t="shared" si="48"/>
        <v/>
      </c>
      <c r="CW39" s="10" t="str">
        <f t="shared" si="48"/>
        <v/>
      </c>
      <c r="CX39" s="10" t="str">
        <f t="shared" si="48"/>
        <v/>
      </c>
      <c r="CY39" s="10" t="str">
        <f t="shared" si="48"/>
        <v/>
      </c>
      <c r="CZ39" s="10" t="str">
        <f t="shared" si="48"/>
        <v/>
      </c>
      <c r="DA39" s="10" t="str">
        <f t="shared" si="48"/>
        <v/>
      </c>
      <c r="DB39" s="10" t="str">
        <f t="shared" si="48"/>
        <v/>
      </c>
      <c r="DC39" s="10" t="str">
        <f t="shared" si="48"/>
        <v/>
      </c>
      <c r="DD39" s="10" t="str">
        <f t="shared" si="48"/>
        <v/>
      </c>
      <c r="DE39" s="10" t="str">
        <f t="shared" si="48"/>
        <v/>
      </c>
      <c r="DF39" s="10" t="str">
        <f t="shared" si="48"/>
        <v/>
      </c>
      <c r="DG39" s="10" t="str">
        <f t="shared" si="48"/>
        <v/>
      </c>
      <c r="DH39" s="10" t="str">
        <f t="shared" si="48"/>
        <v/>
      </c>
      <c r="DI39" s="10" t="str">
        <f t="shared" si="48"/>
        <v/>
      </c>
      <c r="DJ39" s="10" t="str">
        <f t="shared" si="48"/>
        <v/>
      </c>
    </row>
    <row r="40" spans="1:114" ht="13.5" customHeight="1">
      <c r="A40" s="1">
        <f>Gerenciamento!D40</f>
        <v>0</v>
      </c>
      <c r="B40" s="1" t="e">
        <f t="shared" si="2"/>
        <v>#VALUE!</v>
      </c>
      <c r="C40" s="2" t="e">
        <f t="shared" si="6"/>
        <v>#VALUE!</v>
      </c>
      <c r="D40" s="2" t="e">
        <f t="shared" si="7"/>
        <v>#VALUE!</v>
      </c>
      <c r="E40" s="2" t="e">
        <f t="shared" si="8"/>
        <v>#VALUE!</v>
      </c>
      <c r="F40" s="2" t="e">
        <f t="shared" si="9"/>
        <v>#VALUE!</v>
      </c>
      <c r="G40" s="5" t="e">
        <f t="shared" si="15"/>
        <v>#VALUE!</v>
      </c>
      <c r="H40" s="1" t="e">
        <f t="shared" si="10"/>
        <v>#VALUE!</v>
      </c>
      <c r="I40" s="1" t="e">
        <f t="shared" si="12"/>
        <v>#VALUE!</v>
      </c>
      <c r="J40" s="6" t="e">
        <f t="shared" si="3"/>
        <v>#VALUE!</v>
      </c>
      <c r="M40" s="9" t="b">
        <f t="shared" si="4"/>
        <v>0</v>
      </c>
      <c r="N40" s="10" t="e">
        <f t="shared" ref="N40:DJ40" si="49">IF(N$1&gt;$L$2,"",IF(N$1=$L$2,1,IF($L$2-N$1=$L$1-$M40,$L$3^($L$1-$M40),($L$3*N41*O41/(N41+($L$3-1)*O41)))))</f>
        <v>#DIV/0!</v>
      </c>
      <c r="O40" s="10" t="e">
        <f t="shared" si="49"/>
        <v>#DIV/0!</v>
      </c>
      <c r="P40" s="10">
        <f t="shared" si="49"/>
        <v>1</v>
      </c>
      <c r="Q40" s="10" t="str">
        <f t="shared" si="49"/>
        <v/>
      </c>
      <c r="R40" s="10" t="str">
        <f t="shared" si="49"/>
        <v/>
      </c>
      <c r="S40" s="10" t="str">
        <f t="shared" si="49"/>
        <v/>
      </c>
      <c r="T40" s="10" t="str">
        <f t="shared" si="49"/>
        <v/>
      </c>
      <c r="U40" s="10" t="str">
        <f t="shared" si="49"/>
        <v/>
      </c>
      <c r="V40" s="10" t="str">
        <f t="shared" si="49"/>
        <v/>
      </c>
      <c r="W40" s="10" t="str">
        <f t="shared" si="49"/>
        <v/>
      </c>
      <c r="X40" s="10" t="str">
        <f t="shared" si="49"/>
        <v/>
      </c>
      <c r="Y40" s="10" t="str">
        <f t="shared" si="49"/>
        <v/>
      </c>
      <c r="Z40" s="10" t="str">
        <f t="shared" si="49"/>
        <v/>
      </c>
      <c r="AA40" s="10" t="str">
        <f t="shared" si="49"/>
        <v/>
      </c>
      <c r="AB40" s="10" t="str">
        <f t="shared" si="49"/>
        <v/>
      </c>
      <c r="AC40" s="10" t="str">
        <f t="shared" si="49"/>
        <v/>
      </c>
      <c r="AD40" s="10" t="str">
        <f t="shared" si="49"/>
        <v/>
      </c>
      <c r="AE40" s="10" t="str">
        <f t="shared" si="49"/>
        <v/>
      </c>
      <c r="AF40" s="10" t="str">
        <f t="shared" si="49"/>
        <v/>
      </c>
      <c r="AG40" s="10" t="str">
        <f t="shared" si="49"/>
        <v/>
      </c>
      <c r="AH40" s="10" t="str">
        <f t="shared" si="49"/>
        <v/>
      </c>
      <c r="AI40" s="10" t="str">
        <f t="shared" si="49"/>
        <v/>
      </c>
      <c r="AJ40" s="10" t="str">
        <f t="shared" si="49"/>
        <v/>
      </c>
      <c r="AK40" s="10" t="str">
        <f t="shared" si="49"/>
        <v/>
      </c>
      <c r="AL40" s="10" t="str">
        <f t="shared" si="49"/>
        <v/>
      </c>
      <c r="AM40" s="10" t="str">
        <f t="shared" si="49"/>
        <v/>
      </c>
      <c r="AN40" s="10" t="str">
        <f t="shared" si="49"/>
        <v/>
      </c>
      <c r="AO40" s="10" t="str">
        <f t="shared" si="49"/>
        <v/>
      </c>
      <c r="AP40" s="10" t="str">
        <f t="shared" si="49"/>
        <v/>
      </c>
      <c r="AQ40" s="10" t="str">
        <f t="shared" si="49"/>
        <v/>
      </c>
      <c r="AR40" s="10" t="str">
        <f t="shared" si="49"/>
        <v/>
      </c>
      <c r="AS40" s="10" t="str">
        <f t="shared" si="49"/>
        <v/>
      </c>
      <c r="AT40" s="10" t="str">
        <f t="shared" si="49"/>
        <v/>
      </c>
      <c r="AU40" s="10" t="str">
        <f t="shared" si="49"/>
        <v/>
      </c>
      <c r="AV40" s="10" t="str">
        <f t="shared" si="49"/>
        <v/>
      </c>
      <c r="AW40" s="10" t="str">
        <f t="shared" si="49"/>
        <v/>
      </c>
      <c r="AX40" s="10" t="str">
        <f t="shared" si="49"/>
        <v/>
      </c>
      <c r="AY40" s="10" t="str">
        <f t="shared" si="49"/>
        <v/>
      </c>
      <c r="AZ40" s="10" t="str">
        <f t="shared" si="49"/>
        <v/>
      </c>
      <c r="BA40" s="10" t="str">
        <f t="shared" si="49"/>
        <v/>
      </c>
      <c r="BB40" s="10" t="str">
        <f t="shared" si="49"/>
        <v/>
      </c>
      <c r="BC40" s="10" t="str">
        <f t="shared" si="49"/>
        <v/>
      </c>
      <c r="BD40" s="10" t="str">
        <f t="shared" si="49"/>
        <v/>
      </c>
      <c r="BE40" s="10" t="str">
        <f t="shared" si="49"/>
        <v/>
      </c>
      <c r="BF40" s="10" t="str">
        <f t="shared" si="49"/>
        <v/>
      </c>
      <c r="BG40" s="10" t="str">
        <f t="shared" si="49"/>
        <v/>
      </c>
      <c r="BH40" s="10" t="str">
        <f t="shared" si="49"/>
        <v/>
      </c>
      <c r="BI40" s="10" t="str">
        <f t="shared" si="49"/>
        <v/>
      </c>
      <c r="BJ40" s="10" t="str">
        <f t="shared" si="49"/>
        <v/>
      </c>
      <c r="BK40" s="10" t="str">
        <f t="shared" si="49"/>
        <v/>
      </c>
      <c r="BL40" s="10" t="str">
        <f t="shared" si="49"/>
        <v/>
      </c>
      <c r="BM40" s="10" t="str">
        <f t="shared" si="49"/>
        <v/>
      </c>
      <c r="BN40" s="10" t="str">
        <f t="shared" si="49"/>
        <v/>
      </c>
      <c r="BO40" s="10" t="str">
        <f t="shared" si="49"/>
        <v/>
      </c>
      <c r="BP40" s="10" t="str">
        <f t="shared" si="49"/>
        <v/>
      </c>
      <c r="BQ40" s="10" t="str">
        <f t="shared" si="49"/>
        <v/>
      </c>
      <c r="BR40" s="10" t="str">
        <f t="shared" si="49"/>
        <v/>
      </c>
      <c r="BS40" s="10" t="str">
        <f t="shared" si="49"/>
        <v/>
      </c>
      <c r="BT40" s="10" t="str">
        <f t="shared" si="49"/>
        <v/>
      </c>
      <c r="BU40" s="10" t="str">
        <f t="shared" si="49"/>
        <v/>
      </c>
      <c r="BV40" s="10" t="str">
        <f t="shared" si="49"/>
        <v/>
      </c>
      <c r="BW40" s="10" t="str">
        <f t="shared" si="49"/>
        <v/>
      </c>
      <c r="BX40" s="10" t="str">
        <f t="shared" si="49"/>
        <v/>
      </c>
      <c r="BY40" s="10" t="str">
        <f t="shared" si="49"/>
        <v/>
      </c>
      <c r="BZ40" s="10" t="str">
        <f t="shared" si="49"/>
        <v/>
      </c>
      <c r="CA40" s="10" t="str">
        <f t="shared" si="49"/>
        <v/>
      </c>
      <c r="CB40" s="10" t="str">
        <f t="shared" si="49"/>
        <v/>
      </c>
      <c r="CC40" s="10" t="str">
        <f t="shared" si="49"/>
        <v/>
      </c>
      <c r="CD40" s="10" t="str">
        <f t="shared" si="49"/>
        <v/>
      </c>
      <c r="CE40" s="10" t="str">
        <f t="shared" si="49"/>
        <v/>
      </c>
      <c r="CF40" s="10" t="str">
        <f t="shared" si="49"/>
        <v/>
      </c>
      <c r="CG40" s="10" t="str">
        <f t="shared" si="49"/>
        <v/>
      </c>
      <c r="CH40" s="10" t="str">
        <f t="shared" si="49"/>
        <v/>
      </c>
      <c r="CI40" s="10" t="str">
        <f t="shared" si="49"/>
        <v/>
      </c>
      <c r="CJ40" s="10" t="str">
        <f t="shared" si="49"/>
        <v/>
      </c>
      <c r="CK40" s="10" t="str">
        <f t="shared" si="49"/>
        <v/>
      </c>
      <c r="CL40" s="10" t="str">
        <f t="shared" si="49"/>
        <v/>
      </c>
      <c r="CM40" s="10" t="str">
        <f t="shared" si="49"/>
        <v/>
      </c>
      <c r="CN40" s="10" t="str">
        <f t="shared" si="49"/>
        <v/>
      </c>
      <c r="CO40" s="10" t="str">
        <f t="shared" si="49"/>
        <v/>
      </c>
      <c r="CP40" s="10" t="str">
        <f t="shared" si="49"/>
        <v/>
      </c>
      <c r="CQ40" s="10" t="str">
        <f t="shared" si="49"/>
        <v/>
      </c>
      <c r="CR40" s="10" t="str">
        <f t="shared" si="49"/>
        <v/>
      </c>
      <c r="CS40" s="10" t="str">
        <f t="shared" si="49"/>
        <v/>
      </c>
      <c r="CT40" s="10" t="str">
        <f t="shared" si="49"/>
        <v/>
      </c>
      <c r="CU40" s="10" t="str">
        <f t="shared" si="49"/>
        <v/>
      </c>
      <c r="CV40" s="10" t="str">
        <f t="shared" si="49"/>
        <v/>
      </c>
      <c r="CW40" s="10" t="str">
        <f t="shared" si="49"/>
        <v/>
      </c>
      <c r="CX40" s="10" t="str">
        <f t="shared" si="49"/>
        <v/>
      </c>
      <c r="CY40" s="10" t="str">
        <f t="shared" si="49"/>
        <v/>
      </c>
      <c r="CZ40" s="10" t="str">
        <f t="shared" si="49"/>
        <v/>
      </c>
      <c r="DA40" s="10" t="str">
        <f t="shared" si="49"/>
        <v/>
      </c>
      <c r="DB40" s="10" t="str">
        <f t="shared" si="49"/>
        <v/>
      </c>
      <c r="DC40" s="10" t="str">
        <f t="shared" si="49"/>
        <v/>
      </c>
      <c r="DD40" s="10" t="str">
        <f t="shared" si="49"/>
        <v/>
      </c>
      <c r="DE40" s="10" t="str">
        <f t="shared" si="49"/>
        <v/>
      </c>
      <c r="DF40" s="10" t="str">
        <f t="shared" si="49"/>
        <v/>
      </c>
      <c r="DG40" s="10" t="str">
        <f t="shared" si="49"/>
        <v/>
      </c>
      <c r="DH40" s="10" t="str">
        <f t="shared" si="49"/>
        <v/>
      </c>
      <c r="DI40" s="10" t="str">
        <f t="shared" si="49"/>
        <v/>
      </c>
      <c r="DJ40" s="10" t="str">
        <f t="shared" si="49"/>
        <v/>
      </c>
    </row>
    <row r="41" spans="1:114" ht="13.5" customHeight="1">
      <c r="A41" s="1">
        <f>Gerenciamento!D41</f>
        <v>0</v>
      </c>
      <c r="B41" s="1" t="e">
        <f t="shared" si="2"/>
        <v>#VALUE!</v>
      </c>
      <c r="C41" s="2" t="e">
        <f t="shared" si="6"/>
        <v>#VALUE!</v>
      </c>
      <c r="D41" s="2" t="e">
        <f t="shared" si="7"/>
        <v>#VALUE!</v>
      </c>
      <c r="E41" s="2" t="e">
        <f t="shared" si="8"/>
        <v>#VALUE!</v>
      </c>
      <c r="F41" s="2" t="e">
        <f t="shared" si="9"/>
        <v>#VALUE!</v>
      </c>
      <c r="G41" s="5" t="e">
        <f t="shared" si="15"/>
        <v>#VALUE!</v>
      </c>
      <c r="H41" s="1" t="e">
        <f t="shared" si="10"/>
        <v>#VALUE!</v>
      </c>
      <c r="I41" s="1" t="e">
        <f t="shared" si="12"/>
        <v>#VALUE!</v>
      </c>
      <c r="J41" s="6" t="e">
        <f t="shared" si="3"/>
        <v>#VALUE!</v>
      </c>
      <c r="M41" s="9" t="b">
        <f t="shared" si="4"/>
        <v>0</v>
      </c>
      <c r="N41" s="10" t="e">
        <f t="shared" ref="N41:DJ41" si="50">IF(N$1&gt;$L$2,"",IF(N$1=$L$2,1,IF($L$2-N$1=$L$1-$M41,$L$3^($L$1-$M41),($L$3*N42*O42/(N42+($L$3-1)*O42)))))</f>
        <v>#DIV/0!</v>
      </c>
      <c r="O41" s="10" t="e">
        <f t="shared" si="50"/>
        <v>#DIV/0!</v>
      </c>
      <c r="P41" s="10">
        <f t="shared" si="50"/>
        <v>1</v>
      </c>
      <c r="Q41" s="10" t="str">
        <f t="shared" si="50"/>
        <v/>
      </c>
      <c r="R41" s="10" t="str">
        <f t="shared" si="50"/>
        <v/>
      </c>
      <c r="S41" s="10" t="str">
        <f t="shared" si="50"/>
        <v/>
      </c>
      <c r="T41" s="10" t="str">
        <f t="shared" si="50"/>
        <v/>
      </c>
      <c r="U41" s="10" t="str">
        <f t="shared" si="50"/>
        <v/>
      </c>
      <c r="V41" s="10" t="str">
        <f t="shared" si="50"/>
        <v/>
      </c>
      <c r="W41" s="10" t="str">
        <f t="shared" si="50"/>
        <v/>
      </c>
      <c r="X41" s="10" t="str">
        <f t="shared" si="50"/>
        <v/>
      </c>
      <c r="Y41" s="10" t="str">
        <f t="shared" si="50"/>
        <v/>
      </c>
      <c r="Z41" s="10" t="str">
        <f t="shared" si="50"/>
        <v/>
      </c>
      <c r="AA41" s="10" t="str">
        <f t="shared" si="50"/>
        <v/>
      </c>
      <c r="AB41" s="10" t="str">
        <f t="shared" si="50"/>
        <v/>
      </c>
      <c r="AC41" s="10" t="str">
        <f t="shared" si="50"/>
        <v/>
      </c>
      <c r="AD41" s="10" t="str">
        <f t="shared" si="50"/>
        <v/>
      </c>
      <c r="AE41" s="10" t="str">
        <f t="shared" si="50"/>
        <v/>
      </c>
      <c r="AF41" s="10" t="str">
        <f t="shared" si="50"/>
        <v/>
      </c>
      <c r="AG41" s="10" t="str">
        <f t="shared" si="50"/>
        <v/>
      </c>
      <c r="AH41" s="10" t="str">
        <f t="shared" si="50"/>
        <v/>
      </c>
      <c r="AI41" s="10" t="str">
        <f t="shared" si="50"/>
        <v/>
      </c>
      <c r="AJ41" s="10" t="str">
        <f t="shared" si="50"/>
        <v/>
      </c>
      <c r="AK41" s="10" t="str">
        <f t="shared" si="50"/>
        <v/>
      </c>
      <c r="AL41" s="10" t="str">
        <f t="shared" si="50"/>
        <v/>
      </c>
      <c r="AM41" s="10" t="str">
        <f t="shared" si="50"/>
        <v/>
      </c>
      <c r="AN41" s="10" t="str">
        <f t="shared" si="50"/>
        <v/>
      </c>
      <c r="AO41" s="10" t="str">
        <f t="shared" si="50"/>
        <v/>
      </c>
      <c r="AP41" s="10" t="str">
        <f t="shared" si="50"/>
        <v/>
      </c>
      <c r="AQ41" s="10" t="str">
        <f t="shared" si="50"/>
        <v/>
      </c>
      <c r="AR41" s="10" t="str">
        <f t="shared" si="50"/>
        <v/>
      </c>
      <c r="AS41" s="10" t="str">
        <f t="shared" si="50"/>
        <v/>
      </c>
      <c r="AT41" s="10" t="str">
        <f t="shared" si="50"/>
        <v/>
      </c>
      <c r="AU41" s="10" t="str">
        <f t="shared" si="50"/>
        <v/>
      </c>
      <c r="AV41" s="10" t="str">
        <f t="shared" si="50"/>
        <v/>
      </c>
      <c r="AW41" s="10" t="str">
        <f t="shared" si="50"/>
        <v/>
      </c>
      <c r="AX41" s="10" t="str">
        <f t="shared" si="50"/>
        <v/>
      </c>
      <c r="AY41" s="10" t="str">
        <f t="shared" si="50"/>
        <v/>
      </c>
      <c r="AZ41" s="10" t="str">
        <f t="shared" si="50"/>
        <v/>
      </c>
      <c r="BA41" s="10" t="str">
        <f t="shared" si="50"/>
        <v/>
      </c>
      <c r="BB41" s="10" t="str">
        <f t="shared" si="50"/>
        <v/>
      </c>
      <c r="BC41" s="10" t="str">
        <f t="shared" si="50"/>
        <v/>
      </c>
      <c r="BD41" s="10" t="str">
        <f t="shared" si="50"/>
        <v/>
      </c>
      <c r="BE41" s="10" t="str">
        <f t="shared" si="50"/>
        <v/>
      </c>
      <c r="BF41" s="10" t="str">
        <f t="shared" si="50"/>
        <v/>
      </c>
      <c r="BG41" s="10" t="str">
        <f t="shared" si="50"/>
        <v/>
      </c>
      <c r="BH41" s="10" t="str">
        <f t="shared" si="50"/>
        <v/>
      </c>
      <c r="BI41" s="10" t="str">
        <f t="shared" si="50"/>
        <v/>
      </c>
      <c r="BJ41" s="10" t="str">
        <f t="shared" si="50"/>
        <v/>
      </c>
      <c r="BK41" s="10" t="str">
        <f t="shared" si="50"/>
        <v/>
      </c>
      <c r="BL41" s="10" t="str">
        <f t="shared" si="50"/>
        <v/>
      </c>
      <c r="BM41" s="10" t="str">
        <f t="shared" si="50"/>
        <v/>
      </c>
      <c r="BN41" s="10" t="str">
        <f t="shared" si="50"/>
        <v/>
      </c>
      <c r="BO41" s="10" t="str">
        <f t="shared" si="50"/>
        <v/>
      </c>
      <c r="BP41" s="10" t="str">
        <f t="shared" si="50"/>
        <v/>
      </c>
      <c r="BQ41" s="10" t="str">
        <f t="shared" si="50"/>
        <v/>
      </c>
      <c r="BR41" s="10" t="str">
        <f t="shared" si="50"/>
        <v/>
      </c>
      <c r="BS41" s="10" t="str">
        <f t="shared" si="50"/>
        <v/>
      </c>
      <c r="BT41" s="10" t="str">
        <f t="shared" si="50"/>
        <v/>
      </c>
      <c r="BU41" s="10" t="str">
        <f t="shared" si="50"/>
        <v/>
      </c>
      <c r="BV41" s="10" t="str">
        <f t="shared" si="50"/>
        <v/>
      </c>
      <c r="BW41" s="10" t="str">
        <f t="shared" si="50"/>
        <v/>
      </c>
      <c r="BX41" s="10" t="str">
        <f t="shared" si="50"/>
        <v/>
      </c>
      <c r="BY41" s="10" t="str">
        <f t="shared" si="50"/>
        <v/>
      </c>
      <c r="BZ41" s="10" t="str">
        <f t="shared" si="50"/>
        <v/>
      </c>
      <c r="CA41" s="10" t="str">
        <f t="shared" si="50"/>
        <v/>
      </c>
      <c r="CB41" s="10" t="str">
        <f t="shared" si="50"/>
        <v/>
      </c>
      <c r="CC41" s="10" t="str">
        <f t="shared" si="50"/>
        <v/>
      </c>
      <c r="CD41" s="10" t="str">
        <f t="shared" si="50"/>
        <v/>
      </c>
      <c r="CE41" s="10" t="str">
        <f t="shared" si="50"/>
        <v/>
      </c>
      <c r="CF41" s="10" t="str">
        <f t="shared" si="50"/>
        <v/>
      </c>
      <c r="CG41" s="10" t="str">
        <f t="shared" si="50"/>
        <v/>
      </c>
      <c r="CH41" s="10" t="str">
        <f t="shared" si="50"/>
        <v/>
      </c>
      <c r="CI41" s="10" t="str">
        <f t="shared" si="50"/>
        <v/>
      </c>
      <c r="CJ41" s="10" t="str">
        <f t="shared" si="50"/>
        <v/>
      </c>
      <c r="CK41" s="10" t="str">
        <f t="shared" si="50"/>
        <v/>
      </c>
      <c r="CL41" s="10" t="str">
        <f t="shared" si="50"/>
        <v/>
      </c>
      <c r="CM41" s="10" t="str">
        <f t="shared" si="50"/>
        <v/>
      </c>
      <c r="CN41" s="10" t="str">
        <f t="shared" si="50"/>
        <v/>
      </c>
      <c r="CO41" s="10" t="str">
        <f t="shared" si="50"/>
        <v/>
      </c>
      <c r="CP41" s="10" t="str">
        <f t="shared" si="50"/>
        <v/>
      </c>
      <c r="CQ41" s="10" t="str">
        <f t="shared" si="50"/>
        <v/>
      </c>
      <c r="CR41" s="10" t="str">
        <f t="shared" si="50"/>
        <v/>
      </c>
      <c r="CS41" s="10" t="str">
        <f t="shared" si="50"/>
        <v/>
      </c>
      <c r="CT41" s="10" t="str">
        <f t="shared" si="50"/>
        <v/>
      </c>
      <c r="CU41" s="10" t="str">
        <f t="shared" si="50"/>
        <v/>
      </c>
      <c r="CV41" s="10" t="str">
        <f t="shared" si="50"/>
        <v/>
      </c>
      <c r="CW41" s="10" t="str">
        <f t="shared" si="50"/>
        <v/>
      </c>
      <c r="CX41" s="10" t="str">
        <f t="shared" si="50"/>
        <v/>
      </c>
      <c r="CY41" s="10" t="str">
        <f t="shared" si="50"/>
        <v/>
      </c>
      <c r="CZ41" s="10" t="str">
        <f t="shared" si="50"/>
        <v/>
      </c>
      <c r="DA41" s="10" t="str">
        <f t="shared" si="50"/>
        <v/>
      </c>
      <c r="DB41" s="10" t="str">
        <f t="shared" si="50"/>
        <v/>
      </c>
      <c r="DC41" s="10" t="str">
        <f t="shared" si="50"/>
        <v/>
      </c>
      <c r="DD41" s="10" t="str">
        <f t="shared" si="50"/>
        <v/>
      </c>
      <c r="DE41" s="10" t="str">
        <f t="shared" si="50"/>
        <v/>
      </c>
      <c r="DF41" s="10" t="str">
        <f t="shared" si="50"/>
        <v/>
      </c>
      <c r="DG41" s="10" t="str">
        <f t="shared" si="50"/>
        <v/>
      </c>
      <c r="DH41" s="10" t="str">
        <f t="shared" si="50"/>
        <v/>
      </c>
      <c r="DI41" s="10" t="str">
        <f t="shared" si="50"/>
        <v/>
      </c>
      <c r="DJ41" s="10" t="str">
        <f t="shared" si="50"/>
        <v/>
      </c>
    </row>
    <row r="42" spans="1:114" ht="13.5" customHeight="1">
      <c r="A42" s="1">
        <f>Gerenciamento!D42</f>
        <v>0</v>
      </c>
      <c r="B42" s="1" t="e">
        <f t="shared" si="2"/>
        <v>#VALUE!</v>
      </c>
      <c r="C42" s="2" t="e">
        <f t="shared" si="6"/>
        <v>#VALUE!</v>
      </c>
      <c r="D42" s="2" t="e">
        <f t="shared" si="7"/>
        <v>#VALUE!</v>
      </c>
      <c r="E42" s="2" t="e">
        <f t="shared" si="8"/>
        <v>#VALUE!</v>
      </c>
      <c r="F42" s="2" t="e">
        <f t="shared" si="9"/>
        <v>#VALUE!</v>
      </c>
      <c r="G42" s="5" t="e">
        <f t="shared" si="15"/>
        <v>#VALUE!</v>
      </c>
      <c r="H42" s="1" t="e">
        <f t="shared" si="10"/>
        <v>#VALUE!</v>
      </c>
      <c r="I42" s="1" t="e">
        <f t="shared" si="12"/>
        <v>#VALUE!</v>
      </c>
      <c r="J42" s="6" t="e">
        <f t="shared" si="3"/>
        <v>#VALUE!</v>
      </c>
      <c r="M42" s="9" t="b">
        <f t="shared" si="4"/>
        <v>0</v>
      </c>
      <c r="N42" s="10" t="e">
        <f t="shared" ref="N42:DJ42" si="51">IF(N$1&gt;$L$2,"",IF(N$1=$L$2,1,IF($L$2-N$1=$L$1-$M42,$L$3^($L$1-$M42),($L$3*N43*O43/(N43+($L$3-1)*O43)))))</f>
        <v>#DIV/0!</v>
      </c>
      <c r="O42" s="10" t="e">
        <f t="shared" si="51"/>
        <v>#DIV/0!</v>
      </c>
      <c r="P42" s="10">
        <f t="shared" si="51"/>
        <v>1</v>
      </c>
      <c r="Q42" s="10" t="str">
        <f t="shared" si="51"/>
        <v/>
      </c>
      <c r="R42" s="10" t="str">
        <f t="shared" si="51"/>
        <v/>
      </c>
      <c r="S42" s="10" t="str">
        <f t="shared" si="51"/>
        <v/>
      </c>
      <c r="T42" s="10" t="str">
        <f t="shared" si="51"/>
        <v/>
      </c>
      <c r="U42" s="10" t="str">
        <f t="shared" si="51"/>
        <v/>
      </c>
      <c r="V42" s="10" t="str">
        <f t="shared" si="51"/>
        <v/>
      </c>
      <c r="W42" s="10" t="str">
        <f t="shared" si="51"/>
        <v/>
      </c>
      <c r="X42" s="10" t="str">
        <f t="shared" si="51"/>
        <v/>
      </c>
      <c r="Y42" s="10" t="str">
        <f t="shared" si="51"/>
        <v/>
      </c>
      <c r="Z42" s="10" t="str">
        <f t="shared" si="51"/>
        <v/>
      </c>
      <c r="AA42" s="10" t="str">
        <f t="shared" si="51"/>
        <v/>
      </c>
      <c r="AB42" s="10" t="str">
        <f t="shared" si="51"/>
        <v/>
      </c>
      <c r="AC42" s="10" t="str">
        <f t="shared" si="51"/>
        <v/>
      </c>
      <c r="AD42" s="10" t="str">
        <f t="shared" si="51"/>
        <v/>
      </c>
      <c r="AE42" s="10" t="str">
        <f t="shared" si="51"/>
        <v/>
      </c>
      <c r="AF42" s="10" t="str">
        <f t="shared" si="51"/>
        <v/>
      </c>
      <c r="AG42" s="10" t="str">
        <f t="shared" si="51"/>
        <v/>
      </c>
      <c r="AH42" s="10" t="str">
        <f t="shared" si="51"/>
        <v/>
      </c>
      <c r="AI42" s="10" t="str">
        <f t="shared" si="51"/>
        <v/>
      </c>
      <c r="AJ42" s="10" t="str">
        <f t="shared" si="51"/>
        <v/>
      </c>
      <c r="AK42" s="10" t="str">
        <f t="shared" si="51"/>
        <v/>
      </c>
      <c r="AL42" s="10" t="str">
        <f t="shared" si="51"/>
        <v/>
      </c>
      <c r="AM42" s="10" t="str">
        <f t="shared" si="51"/>
        <v/>
      </c>
      <c r="AN42" s="10" t="str">
        <f t="shared" si="51"/>
        <v/>
      </c>
      <c r="AO42" s="10" t="str">
        <f t="shared" si="51"/>
        <v/>
      </c>
      <c r="AP42" s="10" t="str">
        <f t="shared" si="51"/>
        <v/>
      </c>
      <c r="AQ42" s="10" t="str">
        <f t="shared" si="51"/>
        <v/>
      </c>
      <c r="AR42" s="10" t="str">
        <f t="shared" si="51"/>
        <v/>
      </c>
      <c r="AS42" s="10" t="str">
        <f t="shared" si="51"/>
        <v/>
      </c>
      <c r="AT42" s="10" t="str">
        <f t="shared" si="51"/>
        <v/>
      </c>
      <c r="AU42" s="10" t="str">
        <f t="shared" si="51"/>
        <v/>
      </c>
      <c r="AV42" s="10" t="str">
        <f t="shared" si="51"/>
        <v/>
      </c>
      <c r="AW42" s="10" t="str">
        <f t="shared" si="51"/>
        <v/>
      </c>
      <c r="AX42" s="10" t="str">
        <f t="shared" si="51"/>
        <v/>
      </c>
      <c r="AY42" s="10" t="str">
        <f t="shared" si="51"/>
        <v/>
      </c>
      <c r="AZ42" s="10" t="str">
        <f t="shared" si="51"/>
        <v/>
      </c>
      <c r="BA42" s="10" t="str">
        <f t="shared" si="51"/>
        <v/>
      </c>
      <c r="BB42" s="10" t="str">
        <f t="shared" si="51"/>
        <v/>
      </c>
      <c r="BC42" s="10" t="str">
        <f t="shared" si="51"/>
        <v/>
      </c>
      <c r="BD42" s="10" t="str">
        <f t="shared" si="51"/>
        <v/>
      </c>
      <c r="BE42" s="10" t="str">
        <f t="shared" si="51"/>
        <v/>
      </c>
      <c r="BF42" s="10" t="str">
        <f t="shared" si="51"/>
        <v/>
      </c>
      <c r="BG42" s="10" t="str">
        <f t="shared" si="51"/>
        <v/>
      </c>
      <c r="BH42" s="10" t="str">
        <f t="shared" si="51"/>
        <v/>
      </c>
      <c r="BI42" s="10" t="str">
        <f t="shared" si="51"/>
        <v/>
      </c>
      <c r="BJ42" s="10" t="str">
        <f t="shared" si="51"/>
        <v/>
      </c>
      <c r="BK42" s="10" t="str">
        <f t="shared" si="51"/>
        <v/>
      </c>
      <c r="BL42" s="10" t="str">
        <f t="shared" si="51"/>
        <v/>
      </c>
      <c r="BM42" s="10" t="str">
        <f t="shared" si="51"/>
        <v/>
      </c>
      <c r="BN42" s="10" t="str">
        <f t="shared" si="51"/>
        <v/>
      </c>
      <c r="BO42" s="10" t="str">
        <f t="shared" si="51"/>
        <v/>
      </c>
      <c r="BP42" s="10" t="str">
        <f t="shared" si="51"/>
        <v/>
      </c>
      <c r="BQ42" s="10" t="str">
        <f t="shared" si="51"/>
        <v/>
      </c>
      <c r="BR42" s="10" t="str">
        <f t="shared" si="51"/>
        <v/>
      </c>
      <c r="BS42" s="10" t="str">
        <f t="shared" si="51"/>
        <v/>
      </c>
      <c r="BT42" s="10" t="str">
        <f t="shared" si="51"/>
        <v/>
      </c>
      <c r="BU42" s="10" t="str">
        <f t="shared" si="51"/>
        <v/>
      </c>
      <c r="BV42" s="10" t="str">
        <f t="shared" si="51"/>
        <v/>
      </c>
      <c r="BW42" s="10" t="str">
        <f t="shared" si="51"/>
        <v/>
      </c>
      <c r="BX42" s="10" t="str">
        <f t="shared" si="51"/>
        <v/>
      </c>
      <c r="BY42" s="10" t="str">
        <f t="shared" si="51"/>
        <v/>
      </c>
      <c r="BZ42" s="10" t="str">
        <f t="shared" si="51"/>
        <v/>
      </c>
      <c r="CA42" s="10" t="str">
        <f t="shared" si="51"/>
        <v/>
      </c>
      <c r="CB42" s="10" t="str">
        <f t="shared" si="51"/>
        <v/>
      </c>
      <c r="CC42" s="10" t="str">
        <f t="shared" si="51"/>
        <v/>
      </c>
      <c r="CD42" s="10" t="str">
        <f t="shared" si="51"/>
        <v/>
      </c>
      <c r="CE42" s="10" t="str">
        <f t="shared" si="51"/>
        <v/>
      </c>
      <c r="CF42" s="10" t="str">
        <f t="shared" si="51"/>
        <v/>
      </c>
      <c r="CG42" s="10" t="str">
        <f t="shared" si="51"/>
        <v/>
      </c>
      <c r="CH42" s="10" t="str">
        <f t="shared" si="51"/>
        <v/>
      </c>
      <c r="CI42" s="10" t="str">
        <f t="shared" si="51"/>
        <v/>
      </c>
      <c r="CJ42" s="10" t="str">
        <f t="shared" si="51"/>
        <v/>
      </c>
      <c r="CK42" s="10" t="str">
        <f t="shared" si="51"/>
        <v/>
      </c>
      <c r="CL42" s="10" t="str">
        <f t="shared" si="51"/>
        <v/>
      </c>
      <c r="CM42" s="10" t="str">
        <f t="shared" si="51"/>
        <v/>
      </c>
      <c r="CN42" s="10" t="str">
        <f t="shared" si="51"/>
        <v/>
      </c>
      <c r="CO42" s="10" t="str">
        <f t="shared" si="51"/>
        <v/>
      </c>
      <c r="CP42" s="10" t="str">
        <f t="shared" si="51"/>
        <v/>
      </c>
      <c r="CQ42" s="10" t="str">
        <f t="shared" si="51"/>
        <v/>
      </c>
      <c r="CR42" s="10" t="str">
        <f t="shared" si="51"/>
        <v/>
      </c>
      <c r="CS42" s="10" t="str">
        <f t="shared" si="51"/>
        <v/>
      </c>
      <c r="CT42" s="10" t="str">
        <f t="shared" si="51"/>
        <v/>
      </c>
      <c r="CU42" s="10" t="str">
        <f t="shared" si="51"/>
        <v/>
      </c>
      <c r="CV42" s="10" t="str">
        <f t="shared" si="51"/>
        <v/>
      </c>
      <c r="CW42" s="10" t="str">
        <f t="shared" si="51"/>
        <v/>
      </c>
      <c r="CX42" s="10" t="str">
        <f t="shared" si="51"/>
        <v/>
      </c>
      <c r="CY42" s="10" t="str">
        <f t="shared" si="51"/>
        <v/>
      </c>
      <c r="CZ42" s="10" t="str">
        <f t="shared" si="51"/>
        <v/>
      </c>
      <c r="DA42" s="10" t="str">
        <f t="shared" si="51"/>
        <v/>
      </c>
      <c r="DB42" s="10" t="str">
        <f t="shared" si="51"/>
        <v/>
      </c>
      <c r="DC42" s="10" t="str">
        <f t="shared" si="51"/>
        <v/>
      </c>
      <c r="DD42" s="10" t="str">
        <f t="shared" si="51"/>
        <v/>
      </c>
      <c r="DE42" s="10" t="str">
        <f t="shared" si="51"/>
        <v/>
      </c>
      <c r="DF42" s="10" t="str">
        <f t="shared" si="51"/>
        <v/>
      </c>
      <c r="DG42" s="10" t="str">
        <f t="shared" si="51"/>
        <v/>
      </c>
      <c r="DH42" s="10" t="str">
        <f t="shared" si="51"/>
        <v/>
      </c>
      <c r="DI42" s="10" t="str">
        <f t="shared" si="51"/>
        <v/>
      </c>
      <c r="DJ42" s="10" t="str">
        <f t="shared" si="51"/>
        <v/>
      </c>
    </row>
    <row r="43" spans="1:114" ht="13.5" customHeight="1">
      <c r="A43" s="1">
        <f>Gerenciamento!D43</f>
        <v>0</v>
      </c>
      <c r="B43" s="1" t="e">
        <f t="shared" si="2"/>
        <v>#VALUE!</v>
      </c>
      <c r="C43" s="2" t="e">
        <f t="shared" si="6"/>
        <v>#VALUE!</v>
      </c>
      <c r="D43" s="2" t="e">
        <f t="shared" si="7"/>
        <v>#VALUE!</v>
      </c>
      <c r="E43" s="2" t="e">
        <f t="shared" si="8"/>
        <v>#VALUE!</v>
      </c>
      <c r="F43" s="2" t="e">
        <f t="shared" si="9"/>
        <v>#VALUE!</v>
      </c>
      <c r="G43" s="5" t="e">
        <f t="shared" si="15"/>
        <v>#VALUE!</v>
      </c>
      <c r="H43" s="1" t="e">
        <f t="shared" si="10"/>
        <v>#VALUE!</v>
      </c>
      <c r="I43" s="1" t="e">
        <f t="shared" si="12"/>
        <v>#VALUE!</v>
      </c>
      <c r="J43" s="6" t="e">
        <f t="shared" si="3"/>
        <v>#VALUE!</v>
      </c>
      <c r="M43" s="9" t="b">
        <f t="shared" si="4"/>
        <v>0</v>
      </c>
      <c r="N43" s="10" t="e">
        <f t="shared" ref="N43:DJ43" si="52">IF(N$1&gt;$L$2,"",IF(N$1=$L$2,1,IF($L$2-N$1=$L$1-$M43,$L$3^($L$1-$M43),($L$3*N44*O44/(N44+($L$3-1)*O44)))))</f>
        <v>#DIV/0!</v>
      </c>
      <c r="O43" s="10" t="e">
        <f t="shared" si="52"/>
        <v>#DIV/0!</v>
      </c>
      <c r="P43" s="10">
        <f t="shared" si="52"/>
        <v>1</v>
      </c>
      <c r="Q43" s="10" t="str">
        <f t="shared" si="52"/>
        <v/>
      </c>
      <c r="R43" s="10" t="str">
        <f t="shared" si="52"/>
        <v/>
      </c>
      <c r="S43" s="10" t="str">
        <f t="shared" si="52"/>
        <v/>
      </c>
      <c r="T43" s="10" t="str">
        <f t="shared" si="52"/>
        <v/>
      </c>
      <c r="U43" s="10" t="str">
        <f t="shared" si="52"/>
        <v/>
      </c>
      <c r="V43" s="10" t="str">
        <f t="shared" si="52"/>
        <v/>
      </c>
      <c r="W43" s="10" t="str">
        <f t="shared" si="52"/>
        <v/>
      </c>
      <c r="X43" s="10" t="str">
        <f t="shared" si="52"/>
        <v/>
      </c>
      <c r="Y43" s="10" t="str">
        <f t="shared" si="52"/>
        <v/>
      </c>
      <c r="Z43" s="10" t="str">
        <f t="shared" si="52"/>
        <v/>
      </c>
      <c r="AA43" s="10" t="str">
        <f t="shared" si="52"/>
        <v/>
      </c>
      <c r="AB43" s="10" t="str">
        <f t="shared" si="52"/>
        <v/>
      </c>
      <c r="AC43" s="10" t="str">
        <f t="shared" si="52"/>
        <v/>
      </c>
      <c r="AD43" s="10" t="str">
        <f t="shared" si="52"/>
        <v/>
      </c>
      <c r="AE43" s="10" t="str">
        <f t="shared" si="52"/>
        <v/>
      </c>
      <c r="AF43" s="10" t="str">
        <f t="shared" si="52"/>
        <v/>
      </c>
      <c r="AG43" s="10" t="str">
        <f t="shared" si="52"/>
        <v/>
      </c>
      <c r="AH43" s="10" t="str">
        <f t="shared" si="52"/>
        <v/>
      </c>
      <c r="AI43" s="10" t="str">
        <f t="shared" si="52"/>
        <v/>
      </c>
      <c r="AJ43" s="10" t="str">
        <f t="shared" si="52"/>
        <v/>
      </c>
      <c r="AK43" s="10" t="str">
        <f t="shared" si="52"/>
        <v/>
      </c>
      <c r="AL43" s="10" t="str">
        <f t="shared" si="52"/>
        <v/>
      </c>
      <c r="AM43" s="10" t="str">
        <f t="shared" si="52"/>
        <v/>
      </c>
      <c r="AN43" s="10" t="str">
        <f t="shared" si="52"/>
        <v/>
      </c>
      <c r="AO43" s="10" t="str">
        <f t="shared" si="52"/>
        <v/>
      </c>
      <c r="AP43" s="10" t="str">
        <f t="shared" si="52"/>
        <v/>
      </c>
      <c r="AQ43" s="10" t="str">
        <f t="shared" si="52"/>
        <v/>
      </c>
      <c r="AR43" s="10" t="str">
        <f t="shared" si="52"/>
        <v/>
      </c>
      <c r="AS43" s="10" t="str">
        <f t="shared" si="52"/>
        <v/>
      </c>
      <c r="AT43" s="10" t="str">
        <f t="shared" si="52"/>
        <v/>
      </c>
      <c r="AU43" s="10" t="str">
        <f t="shared" si="52"/>
        <v/>
      </c>
      <c r="AV43" s="10" t="str">
        <f t="shared" si="52"/>
        <v/>
      </c>
      <c r="AW43" s="10" t="str">
        <f t="shared" si="52"/>
        <v/>
      </c>
      <c r="AX43" s="10" t="str">
        <f t="shared" si="52"/>
        <v/>
      </c>
      <c r="AY43" s="10" t="str">
        <f t="shared" si="52"/>
        <v/>
      </c>
      <c r="AZ43" s="10" t="str">
        <f t="shared" si="52"/>
        <v/>
      </c>
      <c r="BA43" s="10" t="str">
        <f t="shared" si="52"/>
        <v/>
      </c>
      <c r="BB43" s="10" t="str">
        <f t="shared" si="52"/>
        <v/>
      </c>
      <c r="BC43" s="10" t="str">
        <f t="shared" si="52"/>
        <v/>
      </c>
      <c r="BD43" s="10" t="str">
        <f t="shared" si="52"/>
        <v/>
      </c>
      <c r="BE43" s="10" t="str">
        <f t="shared" si="52"/>
        <v/>
      </c>
      <c r="BF43" s="10" t="str">
        <f t="shared" si="52"/>
        <v/>
      </c>
      <c r="BG43" s="10" t="str">
        <f t="shared" si="52"/>
        <v/>
      </c>
      <c r="BH43" s="10" t="str">
        <f t="shared" si="52"/>
        <v/>
      </c>
      <c r="BI43" s="10" t="str">
        <f t="shared" si="52"/>
        <v/>
      </c>
      <c r="BJ43" s="10" t="str">
        <f t="shared" si="52"/>
        <v/>
      </c>
      <c r="BK43" s="10" t="str">
        <f t="shared" si="52"/>
        <v/>
      </c>
      <c r="BL43" s="10" t="str">
        <f t="shared" si="52"/>
        <v/>
      </c>
      <c r="BM43" s="10" t="str">
        <f t="shared" si="52"/>
        <v/>
      </c>
      <c r="BN43" s="10" t="str">
        <f t="shared" si="52"/>
        <v/>
      </c>
      <c r="BO43" s="10" t="str">
        <f t="shared" si="52"/>
        <v/>
      </c>
      <c r="BP43" s="10" t="str">
        <f t="shared" si="52"/>
        <v/>
      </c>
      <c r="BQ43" s="10" t="str">
        <f t="shared" si="52"/>
        <v/>
      </c>
      <c r="BR43" s="10" t="str">
        <f t="shared" si="52"/>
        <v/>
      </c>
      <c r="BS43" s="10" t="str">
        <f t="shared" si="52"/>
        <v/>
      </c>
      <c r="BT43" s="10" t="str">
        <f t="shared" si="52"/>
        <v/>
      </c>
      <c r="BU43" s="10" t="str">
        <f t="shared" si="52"/>
        <v/>
      </c>
      <c r="BV43" s="10" t="str">
        <f t="shared" si="52"/>
        <v/>
      </c>
      <c r="BW43" s="10" t="str">
        <f t="shared" si="52"/>
        <v/>
      </c>
      <c r="BX43" s="10" t="str">
        <f t="shared" si="52"/>
        <v/>
      </c>
      <c r="BY43" s="10" t="str">
        <f t="shared" si="52"/>
        <v/>
      </c>
      <c r="BZ43" s="10" t="str">
        <f t="shared" si="52"/>
        <v/>
      </c>
      <c r="CA43" s="10" t="str">
        <f t="shared" si="52"/>
        <v/>
      </c>
      <c r="CB43" s="10" t="str">
        <f t="shared" si="52"/>
        <v/>
      </c>
      <c r="CC43" s="10" t="str">
        <f t="shared" si="52"/>
        <v/>
      </c>
      <c r="CD43" s="10" t="str">
        <f t="shared" si="52"/>
        <v/>
      </c>
      <c r="CE43" s="10" t="str">
        <f t="shared" si="52"/>
        <v/>
      </c>
      <c r="CF43" s="10" t="str">
        <f t="shared" si="52"/>
        <v/>
      </c>
      <c r="CG43" s="10" t="str">
        <f t="shared" si="52"/>
        <v/>
      </c>
      <c r="CH43" s="10" t="str">
        <f t="shared" si="52"/>
        <v/>
      </c>
      <c r="CI43" s="10" t="str">
        <f t="shared" si="52"/>
        <v/>
      </c>
      <c r="CJ43" s="10" t="str">
        <f t="shared" si="52"/>
        <v/>
      </c>
      <c r="CK43" s="10" t="str">
        <f t="shared" si="52"/>
        <v/>
      </c>
      <c r="CL43" s="10" t="str">
        <f t="shared" si="52"/>
        <v/>
      </c>
      <c r="CM43" s="10" t="str">
        <f t="shared" si="52"/>
        <v/>
      </c>
      <c r="CN43" s="10" t="str">
        <f t="shared" si="52"/>
        <v/>
      </c>
      <c r="CO43" s="10" t="str">
        <f t="shared" si="52"/>
        <v/>
      </c>
      <c r="CP43" s="10" t="str">
        <f t="shared" si="52"/>
        <v/>
      </c>
      <c r="CQ43" s="10" t="str">
        <f t="shared" si="52"/>
        <v/>
      </c>
      <c r="CR43" s="10" t="str">
        <f t="shared" si="52"/>
        <v/>
      </c>
      <c r="CS43" s="10" t="str">
        <f t="shared" si="52"/>
        <v/>
      </c>
      <c r="CT43" s="10" t="str">
        <f t="shared" si="52"/>
        <v/>
      </c>
      <c r="CU43" s="10" t="str">
        <f t="shared" si="52"/>
        <v/>
      </c>
      <c r="CV43" s="10" t="str">
        <f t="shared" si="52"/>
        <v/>
      </c>
      <c r="CW43" s="10" t="str">
        <f t="shared" si="52"/>
        <v/>
      </c>
      <c r="CX43" s="10" t="str">
        <f t="shared" si="52"/>
        <v/>
      </c>
      <c r="CY43" s="10" t="str">
        <f t="shared" si="52"/>
        <v/>
      </c>
      <c r="CZ43" s="10" t="str">
        <f t="shared" si="52"/>
        <v/>
      </c>
      <c r="DA43" s="10" t="str">
        <f t="shared" si="52"/>
        <v/>
      </c>
      <c r="DB43" s="10" t="str">
        <f t="shared" si="52"/>
        <v/>
      </c>
      <c r="DC43" s="10" t="str">
        <f t="shared" si="52"/>
        <v/>
      </c>
      <c r="DD43" s="10" t="str">
        <f t="shared" si="52"/>
        <v/>
      </c>
      <c r="DE43" s="10" t="str">
        <f t="shared" si="52"/>
        <v/>
      </c>
      <c r="DF43" s="10" t="str">
        <f t="shared" si="52"/>
        <v/>
      </c>
      <c r="DG43" s="10" t="str">
        <f t="shared" si="52"/>
        <v/>
      </c>
      <c r="DH43" s="10" t="str">
        <f t="shared" si="52"/>
        <v/>
      </c>
      <c r="DI43" s="10" t="str">
        <f t="shared" si="52"/>
        <v/>
      </c>
      <c r="DJ43" s="10" t="str">
        <f t="shared" si="52"/>
        <v/>
      </c>
    </row>
    <row r="44" spans="1:114" ht="13.5" customHeight="1">
      <c r="A44" s="1">
        <f>Gerenciamento!D44</f>
        <v>0</v>
      </c>
      <c r="B44" s="1" t="e">
        <f t="shared" si="2"/>
        <v>#VALUE!</v>
      </c>
      <c r="C44" s="2" t="e">
        <f t="shared" si="6"/>
        <v>#VALUE!</v>
      </c>
      <c r="D44" s="2" t="e">
        <f t="shared" si="7"/>
        <v>#VALUE!</v>
      </c>
      <c r="E44" s="2" t="e">
        <f t="shared" si="8"/>
        <v>#VALUE!</v>
      </c>
      <c r="F44" s="2" t="e">
        <f t="shared" si="9"/>
        <v>#VALUE!</v>
      </c>
      <c r="G44" s="5" t="e">
        <f t="shared" si="15"/>
        <v>#VALUE!</v>
      </c>
      <c r="H44" s="1" t="e">
        <f t="shared" si="10"/>
        <v>#VALUE!</v>
      </c>
      <c r="I44" s="1" t="e">
        <f t="shared" si="12"/>
        <v>#VALUE!</v>
      </c>
      <c r="J44" s="6" t="e">
        <f t="shared" si="3"/>
        <v>#VALUE!</v>
      </c>
      <c r="M44" s="9" t="b">
        <f t="shared" si="4"/>
        <v>0</v>
      </c>
      <c r="N44" s="10" t="e">
        <f t="shared" ref="N44:DJ44" si="53">IF(N$1&gt;$L$2,"",IF(N$1=$L$2,1,IF($L$2-N$1=$L$1-$M44,$L$3^($L$1-$M44),($L$3*N45*O45/(N45+($L$3-1)*O45)))))</f>
        <v>#DIV/0!</v>
      </c>
      <c r="O44" s="10" t="e">
        <f t="shared" si="53"/>
        <v>#DIV/0!</v>
      </c>
      <c r="P44" s="10">
        <f t="shared" si="53"/>
        <v>1</v>
      </c>
      <c r="Q44" s="10" t="str">
        <f t="shared" si="53"/>
        <v/>
      </c>
      <c r="R44" s="10" t="str">
        <f t="shared" si="53"/>
        <v/>
      </c>
      <c r="S44" s="10" t="str">
        <f t="shared" si="53"/>
        <v/>
      </c>
      <c r="T44" s="10" t="str">
        <f t="shared" si="53"/>
        <v/>
      </c>
      <c r="U44" s="10" t="str">
        <f t="shared" si="53"/>
        <v/>
      </c>
      <c r="V44" s="10" t="str">
        <f t="shared" si="53"/>
        <v/>
      </c>
      <c r="W44" s="10" t="str">
        <f t="shared" si="53"/>
        <v/>
      </c>
      <c r="X44" s="10" t="str">
        <f t="shared" si="53"/>
        <v/>
      </c>
      <c r="Y44" s="10" t="str">
        <f t="shared" si="53"/>
        <v/>
      </c>
      <c r="Z44" s="10" t="str">
        <f t="shared" si="53"/>
        <v/>
      </c>
      <c r="AA44" s="10" t="str">
        <f t="shared" si="53"/>
        <v/>
      </c>
      <c r="AB44" s="10" t="str">
        <f t="shared" si="53"/>
        <v/>
      </c>
      <c r="AC44" s="10" t="str">
        <f t="shared" si="53"/>
        <v/>
      </c>
      <c r="AD44" s="10" t="str">
        <f t="shared" si="53"/>
        <v/>
      </c>
      <c r="AE44" s="10" t="str">
        <f t="shared" si="53"/>
        <v/>
      </c>
      <c r="AF44" s="10" t="str">
        <f t="shared" si="53"/>
        <v/>
      </c>
      <c r="AG44" s="10" t="str">
        <f t="shared" si="53"/>
        <v/>
      </c>
      <c r="AH44" s="10" t="str">
        <f t="shared" si="53"/>
        <v/>
      </c>
      <c r="AI44" s="10" t="str">
        <f t="shared" si="53"/>
        <v/>
      </c>
      <c r="AJ44" s="10" t="str">
        <f t="shared" si="53"/>
        <v/>
      </c>
      <c r="AK44" s="10" t="str">
        <f t="shared" si="53"/>
        <v/>
      </c>
      <c r="AL44" s="10" t="str">
        <f t="shared" si="53"/>
        <v/>
      </c>
      <c r="AM44" s="10" t="str">
        <f t="shared" si="53"/>
        <v/>
      </c>
      <c r="AN44" s="10" t="str">
        <f t="shared" si="53"/>
        <v/>
      </c>
      <c r="AO44" s="10" t="str">
        <f t="shared" si="53"/>
        <v/>
      </c>
      <c r="AP44" s="10" t="str">
        <f t="shared" si="53"/>
        <v/>
      </c>
      <c r="AQ44" s="10" t="str">
        <f t="shared" si="53"/>
        <v/>
      </c>
      <c r="AR44" s="10" t="str">
        <f t="shared" si="53"/>
        <v/>
      </c>
      <c r="AS44" s="10" t="str">
        <f t="shared" si="53"/>
        <v/>
      </c>
      <c r="AT44" s="10" t="str">
        <f t="shared" si="53"/>
        <v/>
      </c>
      <c r="AU44" s="10" t="str">
        <f t="shared" si="53"/>
        <v/>
      </c>
      <c r="AV44" s="10" t="str">
        <f t="shared" si="53"/>
        <v/>
      </c>
      <c r="AW44" s="10" t="str">
        <f t="shared" si="53"/>
        <v/>
      </c>
      <c r="AX44" s="10" t="str">
        <f t="shared" si="53"/>
        <v/>
      </c>
      <c r="AY44" s="10" t="str">
        <f t="shared" si="53"/>
        <v/>
      </c>
      <c r="AZ44" s="10" t="str">
        <f t="shared" si="53"/>
        <v/>
      </c>
      <c r="BA44" s="10" t="str">
        <f t="shared" si="53"/>
        <v/>
      </c>
      <c r="BB44" s="10" t="str">
        <f t="shared" si="53"/>
        <v/>
      </c>
      <c r="BC44" s="10" t="str">
        <f t="shared" si="53"/>
        <v/>
      </c>
      <c r="BD44" s="10" t="str">
        <f t="shared" si="53"/>
        <v/>
      </c>
      <c r="BE44" s="10" t="str">
        <f t="shared" si="53"/>
        <v/>
      </c>
      <c r="BF44" s="10" t="str">
        <f t="shared" si="53"/>
        <v/>
      </c>
      <c r="BG44" s="10" t="str">
        <f t="shared" si="53"/>
        <v/>
      </c>
      <c r="BH44" s="10" t="str">
        <f t="shared" si="53"/>
        <v/>
      </c>
      <c r="BI44" s="10" t="str">
        <f t="shared" si="53"/>
        <v/>
      </c>
      <c r="BJ44" s="10" t="str">
        <f t="shared" si="53"/>
        <v/>
      </c>
      <c r="BK44" s="10" t="str">
        <f t="shared" si="53"/>
        <v/>
      </c>
      <c r="BL44" s="10" t="str">
        <f t="shared" si="53"/>
        <v/>
      </c>
      <c r="BM44" s="10" t="str">
        <f t="shared" si="53"/>
        <v/>
      </c>
      <c r="BN44" s="10" t="str">
        <f t="shared" si="53"/>
        <v/>
      </c>
      <c r="BO44" s="10" t="str">
        <f t="shared" si="53"/>
        <v/>
      </c>
      <c r="BP44" s="10" t="str">
        <f t="shared" si="53"/>
        <v/>
      </c>
      <c r="BQ44" s="10" t="str">
        <f t="shared" si="53"/>
        <v/>
      </c>
      <c r="BR44" s="10" t="str">
        <f t="shared" si="53"/>
        <v/>
      </c>
      <c r="BS44" s="10" t="str">
        <f t="shared" si="53"/>
        <v/>
      </c>
      <c r="BT44" s="10" t="str">
        <f t="shared" si="53"/>
        <v/>
      </c>
      <c r="BU44" s="10" t="str">
        <f t="shared" si="53"/>
        <v/>
      </c>
      <c r="BV44" s="10" t="str">
        <f t="shared" si="53"/>
        <v/>
      </c>
      <c r="BW44" s="10" t="str">
        <f t="shared" si="53"/>
        <v/>
      </c>
      <c r="BX44" s="10" t="str">
        <f t="shared" si="53"/>
        <v/>
      </c>
      <c r="BY44" s="10" t="str">
        <f t="shared" si="53"/>
        <v/>
      </c>
      <c r="BZ44" s="10" t="str">
        <f t="shared" si="53"/>
        <v/>
      </c>
      <c r="CA44" s="10" t="str">
        <f t="shared" si="53"/>
        <v/>
      </c>
      <c r="CB44" s="10" t="str">
        <f t="shared" si="53"/>
        <v/>
      </c>
      <c r="CC44" s="10" t="str">
        <f t="shared" si="53"/>
        <v/>
      </c>
      <c r="CD44" s="10" t="str">
        <f t="shared" si="53"/>
        <v/>
      </c>
      <c r="CE44" s="10" t="str">
        <f t="shared" si="53"/>
        <v/>
      </c>
      <c r="CF44" s="10" t="str">
        <f t="shared" si="53"/>
        <v/>
      </c>
      <c r="CG44" s="10" t="str">
        <f t="shared" si="53"/>
        <v/>
      </c>
      <c r="CH44" s="10" t="str">
        <f t="shared" si="53"/>
        <v/>
      </c>
      <c r="CI44" s="10" t="str">
        <f t="shared" si="53"/>
        <v/>
      </c>
      <c r="CJ44" s="10" t="str">
        <f t="shared" si="53"/>
        <v/>
      </c>
      <c r="CK44" s="10" t="str">
        <f t="shared" si="53"/>
        <v/>
      </c>
      <c r="CL44" s="10" t="str">
        <f t="shared" si="53"/>
        <v/>
      </c>
      <c r="CM44" s="10" t="str">
        <f t="shared" si="53"/>
        <v/>
      </c>
      <c r="CN44" s="10" t="str">
        <f t="shared" si="53"/>
        <v/>
      </c>
      <c r="CO44" s="10" t="str">
        <f t="shared" si="53"/>
        <v/>
      </c>
      <c r="CP44" s="10" t="str">
        <f t="shared" si="53"/>
        <v/>
      </c>
      <c r="CQ44" s="10" t="str">
        <f t="shared" si="53"/>
        <v/>
      </c>
      <c r="CR44" s="10" t="str">
        <f t="shared" si="53"/>
        <v/>
      </c>
      <c r="CS44" s="10" t="str">
        <f t="shared" si="53"/>
        <v/>
      </c>
      <c r="CT44" s="10" t="str">
        <f t="shared" si="53"/>
        <v/>
      </c>
      <c r="CU44" s="10" t="str">
        <f t="shared" si="53"/>
        <v/>
      </c>
      <c r="CV44" s="10" t="str">
        <f t="shared" si="53"/>
        <v/>
      </c>
      <c r="CW44" s="10" t="str">
        <f t="shared" si="53"/>
        <v/>
      </c>
      <c r="CX44" s="10" t="str">
        <f t="shared" si="53"/>
        <v/>
      </c>
      <c r="CY44" s="10" t="str">
        <f t="shared" si="53"/>
        <v/>
      </c>
      <c r="CZ44" s="10" t="str">
        <f t="shared" si="53"/>
        <v/>
      </c>
      <c r="DA44" s="10" t="str">
        <f t="shared" si="53"/>
        <v/>
      </c>
      <c r="DB44" s="10" t="str">
        <f t="shared" si="53"/>
        <v/>
      </c>
      <c r="DC44" s="10" t="str">
        <f t="shared" si="53"/>
        <v/>
      </c>
      <c r="DD44" s="10" t="str">
        <f t="shared" si="53"/>
        <v/>
      </c>
      <c r="DE44" s="10" t="str">
        <f t="shared" si="53"/>
        <v/>
      </c>
      <c r="DF44" s="10" t="str">
        <f t="shared" si="53"/>
        <v/>
      </c>
      <c r="DG44" s="10" t="str">
        <f t="shared" si="53"/>
        <v/>
      </c>
      <c r="DH44" s="10" t="str">
        <f t="shared" si="53"/>
        <v/>
      </c>
      <c r="DI44" s="10" t="str">
        <f t="shared" si="53"/>
        <v/>
      </c>
      <c r="DJ44" s="10" t="str">
        <f t="shared" si="53"/>
        <v/>
      </c>
    </row>
    <row r="45" spans="1:114" ht="13.5" customHeight="1">
      <c r="A45" s="1">
        <f>Gerenciamento!D45</f>
        <v>0</v>
      </c>
      <c r="B45" s="1" t="e">
        <f t="shared" si="2"/>
        <v>#VALUE!</v>
      </c>
      <c r="C45" s="2" t="e">
        <f t="shared" si="6"/>
        <v>#VALUE!</v>
      </c>
      <c r="D45" s="2" t="e">
        <f t="shared" si="7"/>
        <v>#VALUE!</v>
      </c>
      <c r="E45" s="2" t="e">
        <f t="shared" si="8"/>
        <v>#VALUE!</v>
      </c>
      <c r="F45" s="2" t="e">
        <f t="shared" si="9"/>
        <v>#VALUE!</v>
      </c>
      <c r="G45" s="5" t="e">
        <f t="shared" si="15"/>
        <v>#VALUE!</v>
      </c>
      <c r="H45" s="1" t="e">
        <f t="shared" si="10"/>
        <v>#VALUE!</v>
      </c>
      <c r="I45" s="1" t="e">
        <f t="shared" si="12"/>
        <v>#VALUE!</v>
      </c>
      <c r="J45" s="6" t="e">
        <f t="shared" si="3"/>
        <v>#VALUE!</v>
      </c>
      <c r="M45" s="9" t="b">
        <f t="shared" si="4"/>
        <v>0</v>
      </c>
      <c r="N45" s="10" t="e">
        <f t="shared" ref="N45:DJ45" si="54">IF(N$1&gt;$L$2,"",IF(N$1=$L$2,1,IF($L$2-N$1=$L$1-$M45,$L$3^($L$1-$M45),($L$3*N46*O46/(N46+($L$3-1)*O46)))))</f>
        <v>#DIV/0!</v>
      </c>
      <c r="O45" s="10" t="e">
        <f t="shared" si="54"/>
        <v>#DIV/0!</v>
      </c>
      <c r="P45" s="10">
        <f t="shared" si="54"/>
        <v>1</v>
      </c>
      <c r="Q45" s="10" t="str">
        <f t="shared" si="54"/>
        <v/>
      </c>
      <c r="R45" s="10" t="str">
        <f t="shared" si="54"/>
        <v/>
      </c>
      <c r="S45" s="10" t="str">
        <f t="shared" si="54"/>
        <v/>
      </c>
      <c r="T45" s="10" t="str">
        <f t="shared" si="54"/>
        <v/>
      </c>
      <c r="U45" s="10" t="str">
        <f t="shared" si="54"/>
        <v/>
      </c>
      <c r="V45" s="10" t="str">
        <f t="shared" si="54"/>
        <v/>
      </c>
      <c r="W45" s="10" t="str">
        <f t="shared" si="54"/>
        <v/>
      </c>
      <c r="X45" s="10" t="str">
        <f t="shared" si="54"/>
        <v/>
      </c>
      <c r="Y45" s="10" t="str">
        <f t="shared" si="54"/>
        <v/>
      </c>
      <c r="Z45" s="10" t="str">
        <f t="shared" si="54"/>
        <v/>
      </c>
      <c r="AA45" s="10" t="str">
        <f t="shared" si="54"/>
        <v/>
      </c>
      <c r="AB45" s="10" t="str">
        <f t="shared" si="54"/>
        <v/>
      </c>
      <c r="AC45" s="10" t="str">
        <f t="shared" si="54"/>
        <v/>
      </c>
      <c r="AD45" s="10" t="str">
        <f t="shared" si="54"/>
        <v/>
      </c>
      <c r="AE45" s="10" t="str">
        <f t="shared" si="54"/>
        <v/>
      </c>
      <c r="AF45" s="10" t="str">
        <f t="shared" si="54"/>
        <v/>
      </c>
      <c r="AG45" s="10" t="str">
        <f t="shared" si="54"/>
        <v/>
      </c>
      <c r="AH45" s="10" t="str">
        <f t="shared" si="54"/>
        <v/>
      </c>
      <c r="AI45" s="10" t="str">
        <f t="shared" si="54"/>
        <v/>
      </c>
      <c r="AJ45" s="10" t="str">
        <f t="shared" si="54"/>
        <v/>
      </c>
      <c r="AK45" s="10" t="str">
        <f t="shared" si="54"/>
        <v/>
      </c>
      <c r="AL45" s="10" t="str">
        <f t="shared" si="54"/>
        <v/>
      </c>
      <c r="AM45" s="10" t="str">
        <f t="shared" si="54"/>
        <v/>
      </c>
      <c r="AN45" s="10" t="str">
        <f t="shared" si="54"/>
        <v/>
      </c>
      <c r="AO45" s="10" t="str">
        <f t="shared" si="54"/>
        <v/>
      </c>
      <c r="AP45" s="10" t="str">
        <f t="shared" si="54"/>
        <v/>
      </c>
      <c r="AQ45" s="10" t="str">
        <f t="shared" si="54"/>
        <v/>
      </c>
      <c r="AR45" s="10" t="str">
        <f t="shared" si="54"/>
        <v/>
      </c>
      <c r="AS45" s="10" t="str">
        <f t="shared" si="54"/>
        <v/>
      </c>
      <c r="AT45" s="10" t="str">
        <f t="shared" si="54"/>
        <v/>
      </c>
      <c r="AU45" s="10" t="str">
        <f t="shared" si="54"/>
        <v/>
      </c>
      <c r="AV45" s="10" t="str">
        <f t="shared" si="54"/>
        <v/>
      </c>
      <c r="AW45" s="10" t="str">
        <f t="shared" si="54"/>
        <v/>
      </c>
      <c r="AX45" s="10" t="str">
        <f t="shared" si="54"/>
        <v/>
      </c>
      <c r="AY45" s="10" t="str">
        <f t="shared" si="54"/>
        <v/>
      </c>
      <c r="AZ45" s="10" t="str">
        <f t="shared" si="54"/>
        <v/>
      </c>
      <c r="BA45" s="10" t="str">
        <f t="shared" si="54"/>
        <v/>
      </c>
      <c r="BB45" s="10" t="str">
        <f t="shared" si="54"/>
        <v/>
      </c>
      <c r="BC45" s="10" t="str">
        <f t="shared" si="54"/>
        <v/>
      </c>
      <c r="BD45" s="10" t="str">
        <f t="shared" si="54"/>
        <v/>
      </c>
      <c r="BE45" s="10" t="str">
        <f t="shared" si="54"/>
        <v/>
      </c>
      <c r="BF45" s="10" t="str">
        <f t="shared" si="54"/>
        <v/>
      </c>
      <c r="BG45" s="10" t="str">
        <f t="shared" si="54"/>
        <v/>
      </c>
      <c r="BH45" s="10" t="str">
        <f t="shared" si="54"/>
        <v/>
      </c>
      <c r="BI45" s="10" t="str">
        <f t="shared" si="54"/>
        <v/>
      </c>
      <c r="BJ45" s="10" t="str">
        <f t="shared" si="54"/>
        <v/>
      </c>
      <c r="BK45" s="10" t="str">
        <f t="shared" si="54"/>
        <v/>
      </c>
      <c r="BL45" s="10" t="str">
        <f t="shared" si="54"/>
        <v/>
      </c>
      <c r="BM45" s="10" t="str">
        <f t="shared" si="54"/>
        <v/>
      </c>
      <c r="BN45" s="10" t="str">
        <f t="shared" si="54"/>
        <v/>
      </c>
      <c r="BO45" s="10" t="str">
        <f t="shared" si="54"/>
        <v/>
      </c>
      <c r="BP45" s="10" t="str">
        <f t="shared" si="54"/>
        <v/>
      </c>
      <c r="BQ45" s="10" t="str">
        <f t="shared" si="54"/>
        <v/>
      </c>
      <c r="BR45" s="10" t="str">
        <f t="shared" si="54"/>
        <v/>
      </c>
      <c r="BS45" s="10" t="str">
        <f t="shared" si="54"/>
        <v/>
      </c>
      <c r="BT45" s="10" t="str">
        <f t="shared" si="54"/>
        <v/>
      </c>
      <c r="BU45" s="10" t="str">
        <f t="shared" si="54"/>
        <v/>
      </c>
      <c r="BV45" s="10" t="str">
        <f t="shared" si="54"/>
        <v/>
      </c>
      <c r="BW45" s="10" t="str">
        <f t="shared" si="54"/>
        <v/>
      </c>
      <c r="BX45" s="10" t="str">
        <f t="shared" si="54"/>
        <v/>
      </c>
      <c r="BY45" s="10" t="str">
        <f t="shared" si="54"/>
        <v/>
      </c>
      <c r="BZ45" s="10" t="str">
        <f t="shared" si="54"/>
        <v/>
      </c>
      <c r="CA45" s="10" t="str">
        <f t="shared" si="54"/>
        <v/>
      </c>
      <c r="CB45" s="10" t="str">
        <f t="shared" si="54"/>
        <v/>
      </c>
      <c r="CC45" s="10" t="str">
        <f t="shared" si="54"/>
        <v/>
      </c>
      <c r="CD45" s="10" t="str">
        <f t="shared" si="54"/>
        <v/>
      </c>
      <c r="CE45" s="10" t="str">
        <f t="shared" si="54"/>
        <v/>
      </c>
      <c r="CF45" s="10" t="str">
        <f t="shared" si="54"/>
        <v/>
      </c>
      <c r="CG45" s="10" t="str">
        <f t="shared" si="54"/>
        <v/>
      </c>
      <c r="CH45" s="10" t="str">
        <f t="shared" si="54"/>
        <v/>
      </c>
      <c r="CI45" s="10" t="str">
        <f t="shared" si="54"/>
        <v/>
      </c>
      <c r="CJ45" s="10" t="str">
        <f t="shared" si="54"/>
        <v/>
      </c>
      <c r="CK45" s="10" t="str">
        <f t="shared" si="54"/>
        <v/>
      </c>
      <c r="CL45" s="10" t="str">
        <f t="shared" si="54"/>
        <v/>
      </c>
      <c r="CM45" s="10" t="str">
        <f t="shared" si="54"/>
        <v/>
      </c>
      <c r="CN45" s="10" t="str">
        <f t="shared" si="54"/>
        <v/>
      </c>
      <c r="CO45" s="10" t="str">
        <f t="shared" si="54"/>
        <v/>
      </c>
      <c r="CP45" s="10" t="str">
        <f t="shared" si="54"/>
        <v/>
      </c>
      <c r="CQ45" s="10" t="str">
        <f t="shared" si="54"/>
        <v/>
      </c>
      <c r="CR45" s="10" t="str">
        <f t="shared" si="54"/>
        <v/>
      </c>
      <c r="CS45" s="10" t="str">
        <f t="shared" si="54"/>
        <v/>
      </c>
      <c r="CT45" s="10" t="str">
        <f t="shared" si="54"/>
        <v/>
      </c>
      <c r="CU45" s="10" t="str">
        <f t="shared" si="54"/>
        <v/>
      </c>
      <c r="CV45" s="10" t="str">
        <f t="shared" si="54"/>
        <v/>
      </c>
      <c r="CW45" s="10" t="str">
        <f t="shared" si="54"/>
        <v/>
      </c>
      <c r="CX45" s="10" t="str">
        <f t="shared" si="54"/>
        <v/>
      </c>
      <c r="CY45" s="10" t="str">
        <f t="shared" si="54"/>
        <v/>
      </c>
      <c r="CZ45" s="10" t="str">
        <f t="shared" si="54"/>
        <v/>
      </c>
      <c r="DA45" s="10" t="str">
        <f t="shared" si="54"/>
        <v/>
      </c>
      <c r="DB45" s="10" t="str">
        <f t="shared" si="54"/>
        <v/>
      </c>
      <c r="DC45" s="10" t="str">
        <f t="shared" si="54"/>
        <v/>
      </c>
      <c r="DD45" s="10" t="str">
        <f t="shared" si="54"/>
        <v/>
      </c>
      <c r="DE45" s="10" t="str">
        <f t="shared" si="54"/>
        <v/>
      </c>
      <c r="DF45" s="10" t="str">
        <f t="shared" si="54"/>
        <v/>
      </c>
      <c r="DG45" s="10" t="str">
        <f t="shared" si="54"/>
        <v/>
      </c>
      <c r="DH45" s="10" t="str">
        <f t="shared" si="54"/>
        <v/>
      </c>
      <c r="DI45" s="10" t="str">
        <f t="shared" si="54"/>
        <v/>
      </c>
      <c r="DJ45" s="10" t="str">
        <f t="shared" si="54"/>
        <v/>
      </c>
    </row>
    <row r="46" spans="1:114" ht="13.5" customHeight="1">
      <c r="A46" s="1">
        <f>Gerenciamento!D46</f>
        <v>0</v>
      </c>
      <c r="B46" s="1" t="e">
        <f t="shared" si="2"/>
        <v>#VALUE!</v>
      </c>
      <c r="C46" s="2" t="e">
        <f t="shared" si="6"/>
        <v>#VALUE!</v>
      </c>
      <c r="D46" s="2" t="e">
        <f t="shared" si="7"/>
        <v>#VALUE!</v>
      </c>
      <c r="E46" s="2" t="e">
        <f t="shared" si="8"/>
        <v>#VALUE!</v>
      </c>
      <c r="F46" s="2" t="e">
        <f t="shared" si="9"/>
        <v>#VALUE!</v>
      </c>
      <c r="G46" s="5" t="e">
        <f t="shared" si="15"/>
        <v>#VALUE!</v>
      </c>
      <c r="H46" s="1" t="e">
        <f t="shared" si="10"/>
        <v>#VALUE!</v>
      </c>
      <c r="I46" s="1" t="e">
        <f t="shared" si="12"/>
        <v>#VALUE!</v>
      </c>
      <c r="J46" s="6" t="e">
        <f t="shared" si="3"/>
        <v>#VALUE!</v>
      </c>
      <c r="M46" s="9" t="b">
        <f t="shared" si="4"/>
        <v>0</v>
      </c>
      <c r="N46" s="10" t="e">
        <f t="shared" ref="N46:DJ46" si="55">IF(N$1&gt;$L$2,"",IF(N$1=$L$2,1,IF($L$2-N$1=$L$1-$M46,$L$3^($L$1-$M46),($L$3*N47*O47/(N47+($L$3-1)*O47)))))</f>
        <v>#DIV/0!</v>
      </c>
      <c r="O46" s="10" t="e">
        <f t="shared" si="55"/>
        <v>#DIV/0!</v>
      </c>
      <c r="P46" s="10">
        <f t="shared" si="55"/>
        <v>1</v>
      </c>
      <c r="Q46" s="10" t="str">
        <f t="shared" si="55"/>
        <v/>
      </c>
      <c r="R46" s="10" t="str">
        <f t="shared" si="55"/>
        <v/>
      </c>
      <c r="S46" s="10" t="str">
        <f t="shared" si="55"/>
        <v/>
      </c>
      <c r="T46" s="10" t="str">
        <f t="shared" si="55"/>
        <v/>
      </c>
      <c r="U46" s="10" t="str">
        <f t="shared" si="55"/>
        <v/>
      </c>
      <c r="V46" s="10" t="str">
        <f t="shared" si="55"/>
        <v/>
      </c>
      <c r="W46" s="10" t="str">
        <f t="shared" si="55"/>
        <v/>
      </c>
      <c r="X46" s="10" t="str">
        <f t="shared" si="55"/>
        <v/>
      </c>
      <c r="Y46" s="10" t="str">
        <f t="shared" si="55"/>
        <v/>
      </c>
      <c r="Z46" s="10" t="str">
        <f t="shared" si="55"/>
        <v/>
      </c>
      <c r="AA46" s="10" t="str">
        <f t="shared" si="55"/>
        <v/>
      </c>
      <c r="AB46" s="10" t="str">
        <f t="shared" si="55"/>
        <v/>
      </c>
      <c r="AC46" s="10" t="str">
        <f t="shared" si="55"/>
        <v/>
      </c>
      <c r="AD46" s="10" t="str">
        <f t="shared" si="55"/>
        <v/>
      </c>
      <c r="AE46" s="10" t="str">
        <f t="shared" si="55"/>
        <v/>
      </c>
      <c r="AF46" s="10" t="str">
        <f t="shared" si="55"/>
        <v/>
      </c>
      <c r="AG46" s="10" t="str">
        <f t="shared" si="55"/>
        <v/>
      </c>
      <c r="AH46" s="10" t="str">
        <f t="shared" si="55"/>
        <v/>
      </c>
      <c r="AI46" s="10" t="str">
        <f t="shared" si="55"/>
        <v/>
      </c>
      <c r="AJ46" s="10" t="str">
        <f t="shared" si="55"/>
        <v/>
      </c>
      <c r="AK46" s="10" t="str">
        <f t="shared" si="55"/>
        <v/>
      </c>
      <c r="AL46" s="10" t="str">
        <f t="shared" si="55"/>
        <v/>
      </c>
      <c r="AM46" s="10" t="str">
        <f t="shared" si="55"/>
        <v/>
      </c>
      <c r="AN46" s="10" t="str">
        <f t="shared" si="55"/>
        <v/>
      </c>
      <c r="AO46" s="10" t="str">
        <f t="shared" si="55"/>
        <v/>
      </c>
      <c r="AP46" s="10" t="str">
        <f t="shared" si="55"/>
        <v/>
      </c>
      <c r="AQ46" s="10" t="str">
        <f t="shared" si="55"/>
        <v/>
      </c>
      <c r="AR46" s="10" t="str">
        <f t="shared" si="55"/>
        <v/>
      </c>
      <c r="AS46" s="10" t="str">
        <f t="shared" si="55"/>
        <v/>
      </c>
      <c r="AT46" s="10" t="str">
        <f t="shared" si="55"/>
        <v/>
      </c>
      <c r="AU46" s="10" t="str">
        <f t="shared" si="55"/>
        <v/>
      </c>
      <c r="AV46" s="10" t="str">
        <f t="shared" si="55"/>
        <v/>
      </c>
      <c r="AW46" s="10" t="str">
        <f t="shared" si="55"/>
        <v/>
      </c>
      <c r="AX46" s="10" t="str">
        <f t="shared" si="55"/>
        <v/>
      </c>
      <c r="AY46" s="10" t="str">
        <f t="shared" si="55"/>
        <v/>
      </c>
      <c r="AZ46" s="10" t="str">
        <f t="shared" si="55"/>
        <v/>
      </c>
      <c r="BA46" s="10" t="str">
        <f t="shared" si="55"/>
        <v/>
      </c>
      <c r="BB46" s="10" t="str">
        <f t="shared" si="55"/>
        <v/>
      </c>
      <c r="BC46" s="10" t="str">
        <f t="shared" si="55"/>
        <v/>
      </c>
      <c r="BD46" s="10" t="str">
        <f t="shared" si="55"/>
        <v/>
      </c>
      <c r="BE46" s="10" t="str">
        <f t="shared" si="55"/>
        <v/>
      </c>
      <c r="BF46" s="10" t="str">
        <f t="shared" si="55"/>
        <v/>
      </c>
      <c r="BG46" s="10" t="str">
        <f t="shared" si="55"/>
        <v/>
      </c>
      <c r="BH46" s="10" t="str">
        <f t="shared" si="55"/>
        <v/>
      </c>
      <c r="BI46" s="10" t="str">
        <f t="shared" si="55"/>
        <v/>
      </c>
      <c r="BJ46" s="10" t="str">
        <f t="shared" si="55"/>
        <v/>
      </c>
      <c r="BK46" s="10" t="str">
        <f t="shared" si="55"/>
        <v/>
      </c>
      <c r="BL46" s="10" t="str">
        <f t="shared" si="55"/>
        <v/>
      </c>
      <c r="BM46" s="10" t="str">
        <f t="shared" si="55"/>
        <v/>
      </c>
      <c r="BN46" s="10" t="str">
        <f t="shared" si="55"/>
        <v/>
      </c>
      <c r="BO46" s="10" t="str">
        <f t="shared" si="55"/>
        <v/>
      </c>
      <c r="BP46" s="10" t="str">
        <f t="shared" si="55"/>
        <v/>
      </c>
      <c r="BQ46" s="10" t="str">
        <f t="shared" si="55"/>
        <v/>
      </c>
      <c r="BR46" s="10" t="str">
        <f t="shared" si="55"/>
        <v/>
      </c>
      <c r="BS46" s="10" t="str">
        <f t="shared" si="55"/>
        <v/>
      </c>
      <c r="BT46" s="10" t="str">
        <f t="shared" si="55"/>
        <v/>
      </c>
      <c r="BU46" s="10" t="str">
        <f t="shared" si="55"/>
        <v/>
      </c>
      <c r="BV46" s="10" t="str">
        <f t="shared" si="55"/>
        <v/>
      </c>
      <c r="BW46" s="10" t="str">
        <f t="shared" si="55"/>
        <v/>
      </c>
      <c r="BX46" s="10" t="str">
        <f t="shared" si="55"/>
        <v/>
      </c>
      <c r="BY46" s="10" t="str">
        <f t="shared" si="55"/>
        <v/>
      </c>
      <c r="BZ46" s="10" t="str">
        <f t="shared" si="55"/>
        <v/>
      </c>
      <c r="CA46" s="10" t="str">
        <f t="shared" si="55"/>
        <v/>
      </c>
      <c r="CB46" s="10" t="str">
        <f t="shared" si="55"/>
        <v/>
      </c>
      <c r="CC46" s="10" t="str">
        <f t="shared" si="55"/>
        <v/>
      </c>
      <c r="CD46" s="10" t="str">
        <f t="shared" si="55"/>
        <v/>
      </c>
      <c r="CE46" s="10" t="str">
        <f t="shared" si="55"/>
        <v/>
      </c>
      <c r="CF46" s="10" t="str">
        <f t="shared" si="55"/>
        <v/>
      </c>
      <c r="CG46" s="10" t="str">
        <f t="shared" si="55"/>
        <v/>
      </c>
      <c r="CH46" s="10" t="str">
        <f t="shared" si="55"/>
        <v/>
      </c>
      <c r="CI46" s="10" t="str">
        <f t="shared" si="55"/>
        <v/>
      </c>
      <c r="CJ46" s="10" t="str">
        <f t="shared" si="55"/>
        <v/>
      </c>
      <c r="CK46" s="10" t="str">
        <f t="shared" si="55"/>
        <v/>
      </c>
      <c r="CL46" s="10" t="str">
        <f t="shared" si="55"/>
        <v/>
      </c>
      <c r="CM46" s="10" t="str">
        <f t="shared" si="55"/>
        <v/>
      </c>
      <c r="CN46" s="10" t="str">
        <f t="shared" si="55"/>
        <v/>
      </c>
      <c r="CO46" s="10" t="str">
        <f t="shared" si="55"/>
        <v/>
      </c>
      <c r="CP46" s="10" t="str">
        <f t="shared" si="55"/>
        <v/>
      </c>
      <c r="CQ46" s="10" t="str">
        <f t="shared" si="55"/>
        <v/>
      </c>
      <c r="CR46" s="10" t="str">
        <f t="shared" si="55"/>
        <v/>
      </c>
      <c r="CS46" s="10" t="str">
        <f t="shared" si="55"/>
        <v/>
      </c>
      <c r="CT46" s="10" t="str">
        <f t="shared" si="55"/>
        <v/>
      </c>
      <c r="CU46" s="10" t="str">
        <f t="shared" si="55"/>
        <v/>
      </c>
      <c r="CV46" s="10" t="str">
        <f t="shared" si="55"/>
        <v/>
      </c>
      <c r="CW46" s="10" t="str">
        <f t="shared" si="55"/>
        <v/>
      </c>
      <c r="CX46" s="10" t="str">
        <f t="shared" si="55"/>
        <v/>
      </c>
      <c r="CY46" s="10" t="str">
        <f t="shared" si="55"/>
        <v/>
      </c>
      <c r="CZ46" s="10" t="str">
        <f t="shared" si="55"/>
        <v/>
      </c>
      <c r="DA46" s="10" t="str">
        <f t="shared" si="55"/>
        <v/>
      </c>
      <c r="DB46" s="10" t="str">
        <f t="shared" si="55"/>
        <v/>
      </c>
      <c r="DC46" s="10" t="str">
        <f t="shared" si="55"/>
        <v/>
      </c>
      <c r="DD46" s="10" t="str">
        <f t="shared" si="55"/>
        <v/>
      </c>
      <c r="DE46" s="10" t="str">
        <f t="shared" si="55"/>
        <v/>
      </c>
      <c r="DF46" s="10" t="str">
        <f t="shared" si="55"/>
        <v/>
      </c>
      <c r="DG46" s="10" t="str">
        <f t="shared" si="55"/>
        <v/>
      </c>
      <c r="DH46" s="10" t="str">
        <f t="shared" si="55"/>
        <v/>
      </c>
      <c r="DI46" s="10" t="str">
        <f t="shared" si="55"/>
        <v/>
      </c>
      <c r="DJ46" s="10" t="str">
        <f t="shared" si="55"/>
        <v/>
      </c>
    </row>
    <row r="47" spans="1:114" ht="13.5" customHeight="1">
      <c r="A47" s="1">
        <f>Gerenciamento!D47</f>
        <v>0</v>
      </c>
      <c r="B47" s="1" t="e">
        <f t="shared" si="2"/>
        <v>#VALUE!</v>
      </c>
      <c r="C47" s="2" t="e">
        <f t="shared" si="6"/>
        <v>#VALUE!</v>
      </c>
      <c r="D47" s="2" t="e">
        <f t="shared" si="7"/>
        <v>#VALUE!</v>
      </c>
      <c r="E47" s="2" t="e">
        <f t="shared" si="8"/>
        <v>#VALUE!</v>
      </c>
      <c r="F47" s="2" t="e">
        <f t="shared" si="9"/>
        <v>#VALUE!</v>
      </c>
      <c r="G47" s="5" t="e">
        <f t="shared" si="15"/>
        <v>#VALUE!</v>
      </c>
      <c r="H47" s="1" t="e">
        <f t="shared" si="10"/>
        <v>#VALUE!</v>
      </c>
      <c r="I47" s="1" t="e">
        <f t="shared" si="12"/>
        <v>#VALUE!</v>
      </c>
      <c r="J47" s="6" t="e">
        <f t="shared" si="3"/>
        <v>#VALUE!</v>
      </c>
      <c r="M47" s="9" t="b">
        <f t="shared" si="4"/>
        <v>0</v>
      </c>
      <c r="N47" s="10" t="e">
        <f t="shared" ref="N47:DJ47" si="56">IF(N$1&gt;$L$2,"",IF(N$1=$L$2,1,IF($L$2-N$1=$L$1-$M47,$L$3^($L$1-$M47),($L$3*N48*O48/(N48+($L$3-1)*O48)))))</f>
        <v>#DIV/0!</v>
      </c>
      <c r="O47" s="10" t="e">
        <f t="shared" si="56"/>
        <v>#DIV/0!</v>
      </c>
      <c r="P47" s="10">
        <f t="shared" si="56"/>
        <v>1</v>
      </c>
      <c r="Q47" s="10" t="str">
        <f t="shared" si="56"/>
        <v/>
      </c>
      <c r="R47" s="10" t="str">
        <f t="shared" si="56"/>
        <v/>
      </c>
      <c r="S47" s="10" t="str">
        <f t="shared" si="56"/>
        <v/>
      </c>
      <c r="T47" s="10" t="str">
        <f t="shared" si="56"/>
        <v/>
      </c>
      <c r="U47" s="10" t="str">
        <f t="shared" si="56"/>
        <v/>
      </c>
      <c r="V47" s="10" t="str">
        <f t="shared" si="56"/>
        <v/>
      </c>
      <c r="W47" s="10" t="str">
        <f t="shared" si="56"/>
        <v/>
      </c>
      <c r="X47" s="10" t="str">
        <f t="shared" si="56"/>
        <v/>
      </c>
      <c r="Y47" s="10" t="str">
        <f t="shared" si="56"/>
        <v/>
      </c>
      <c r="Z47" s="10" t="str">
        <f t="shared" si="56"/>
        <v/>
      </c>
      <c r="AA47" s="10" t="str">
        <f t="shared" si="56"/>
        <v/>
      </c>
      <c r="AB47" s="10" t="str">
        <f t="shared" si="56"/>
        <v/>
      </c>
      <c r="AC47" s="10" t="str">
        <f t="shared" si="56"/>
        <v/>
      </c>
      <c r="AD47" s="10" t="str">
        <f t="shared" si="56"/>
        <v/>
      </c>
      <c r="AE47" s="10" t="str">
        <f t="shared" si="56"/>
        <v/>
      </c>
      <c r="AF47" s="10" t="str">
        <f t="shared" si="56"/>
        <v/>
      </c>
      <c r="AG47" s="10" t="str">
        <f t="shared" si="56"/>
        <v/>
      </c>
      <c r="AH47" s="10" t="str">
        <f t="shared" si="56"/>
        <v/>
      </c>
      <c r="AI47" s="10" t="str">
        <f t="shared" si="56"/>
        <v/>
      </c>
      <c r="AJ47" s="10" t="str">
        <f t="shared" si="56"/>
        <v/>
      </c>
      <c r="AK47" s="10" t="str">
        <f t="shared" si="56"/>
        <v/>
      </c>
      <c r="AL47" s="10" t="str">
        <f t="shared" si="56"/>
        <v/>
      </c>
      <c r="AM47" s="10" t="str">
        <f t="shared" si="56"/>
        <v/>
      </c>
      <c r="AN47" s="10" t="str">
        <f t="shared" si="56"/>
        <v/>
      </c>
      <c r="AO47" s="10" t="str">
        <f t="shared" si="56"/>
        <v/>
      </c>
      <c r="AP47" s="10" t="str">
        <f t="shared" si="56"/>
        <v/>
      </c>
      <c r="AQ47" s="10" t="str">
        <f t="shared" si="56"/>
        <v/>
      </c>
      <c r="AR47" s="10" t="str">
        <f t="shared" si="56"/>
        <v/>
      </c>
      <c r="AS47" s="10" t="str">
        <f t="shared" si="56"/>
        <v/>
      </c>
      <c r="AT47" s="10" t="str">
        <f t="shared" si="56"/>
        <v/>
      </c>
      <c r="AU47" s="10" t="str">
        <f t="shared" si="56"/>
        <v/>
      </c>
      <c r="AV47" s="10" t="str">
        <f t="shared" si="56"/>
        <v/>
      </c>
      <c r="AW47" s="10" t="str">
        <f t="shared" si="56"/>
        <v/>
      </c>
      <c r="AX47" s="10" t="str">
        <f t="shared" si="56"/>
        <v/>
      </c>
      <c r="AY47" s="10" t="str">
        <f t="shared" si="56"/>
        <v/>
      </c>
      <c r="AZ47" s="10" t="str">
        <f t="shared" si="56"/>
        <v/>
      </c>
      <c r="BA47" s="10" t="str">
        <f t="shared" si="56"/>
        <v/>
      </c>
      <c r="BB47" s="10" t="str">
        <f t="shared" si="56"/>
        <v/>
      </c>
      <c r="BC47" s="10" t="str">
        <f t="shared" si="56"/>
        <v/>
      </c>
      <c r="BD47" s="10" t="str">
        <f t="shared" si="56"/>
        <v/>
      </c>
      <c r="BE47" s="10" t="str">
        <f t="shared" si="56"/>
        <v/>
      </c>
      <c r="BF47" s="10" t="str">
        <f t="shared" si="56"/>
        <v/>
      </c>
      <c r="BG47" s="10" t="str">
        <f t="shared" si="56"/>
        <v/>
      </c>
      <c r="BH47" s="10" t="str">
        <f t="shared" si="56"/>
        <v/>
      </c>
      <c r="BI47" s="10" t="str">
        <f t="shared" si="56"/>
        <v/>
      </c>
      <c r="BJ47" s="10" t="str">
        <f t="shared" si="56"/>
        <v/>
      </c>
      <c r="BK47" s="10" t="str">
        <f t="shared" si="56"/>
        <v/>
      </c>
      <c r="BL47" s="10" t="str">
        <f t="shared" si="56"/>
        <v/>
      </c>
      <c r="BM47" s="10" t="str">
        <f t="shared" si="56"/>
        <v/>
      </c>
      <c r="BN47" s="10" t="str">
        <f t="shared" si="56"/>
        <v/>
      </c>
      <c r="BO47" s="10" t="str">
        <f t="shared" si="56"/>
        <v/>
      </c>
      <c r="BP47" s="10" t="str">
        <f t="shared" si="56"/>
        <v/>
      </c>
      <c r="BQ47" s="10" t="str">
        <f t="shared" si="56"/>
        <v/>
      </c>
      <c r="BR47" s="10" t="str">
        <f t="shared" si="56"/>
        <v/>
      </c>
      <c r="BS47" s="10" t="str">
        <f t="shared" si="56"/>
        <v/>
      </c>
      <c r="BT47" s="10" t="str">
        <f t="shared" si="56"/>
        <v/>
      </c>
      <c r="BU47" s="10" t="str">
        <f t="shared" si="56"/>
        <v/>
      </c>
      <c r="BV47" s="10" t="str">
        <f t="shared" si="56"/>
        <v/>
      </c>
      <c r="BW47" s="10" t="str">
        <f t="shared" si="56"/>
        <v/>
      </c>
      <c r="BX47" s="10" t="str">
        <f t="shared" si="56"/>
        <v/>
      </c>
      <c r="BY47" s="10" t="str">
        <f t="shared" si="56"/>
        <v/>
      </c>
      <c r="BZ47" s="10" t="str">
        <f t="shared" si="56"/>
        <v/>
      </c>
      <c r="CA47" s="10" t="str">
        <f t="shared" si="56"/>
        <v/>
      </c>
      <c r="CB47" s="10" t="str">
        <f t="shared" si="56"/>
        <v/>
      </c>
      <c r="CC47" s="10" t="str">
        <f t="shared" si="56"/>
        <v/>
      </c>
      <c r="CD47" s="10" t="str">
        <f t="shared" si="56"/>
        <v/>
      </c>
      <c r="CE47" s="10" t="str">
        <f t="shared" si="56"/>
        <v/>
      </c>
      <c r="CF47" s="10" t="str">
        <f t="shared" si="56"/>
        <v/>
      </c>
      <c r="CG47" s="10" t="str">
        <f t="shared" si="56"/>
        <v/>
      </c>
      <c r="CH47" s="10" t="str">
        <f t="shared" si="56"/>
        <v/>
      </c>
      <c r="CI47" s="10" t="str">
        <f t="shared" si="56"/>
        <v/>
      </c>
      <c r="CJ47" s="10" t="str">
        <f t="shared" si="56"/>
        <v/>
      </c>
      <c r="CK47" s="10" t="str">
        <f t="shared" si="56"/>
        <v/>
      </c>
      <c r="CL47" s="10" t="str">
        <f t="shared" si="56"/>
        <v/>
      </c>
      <c r="CM47" s="10" t="str">
        <f t="shared" si="56"/>
        <v/>
      </c>
      <c r="CN47" s="10" t="str">
        <f t="shared" si="56"/>
        <v/>
      </c>
      <c r="CO47" s="10" t="str">
        <f t="shared" si="56"/>
        <v/>
      </c>
      <c r="CP47" s="10" t="str">
        <f t="shared" si="56"/>
        <v/>
      </c>
      <c r="CQ47" s="10" t="str">
        <f t="shared" si="56"/>
        <v/>
      </c>
      <c r="CR47" s="10" t="str">
        <f t="shared" si="56"/>
        <v/>
      </c>
      <c r="CS47" s="10" t="str">
        <f t="shared" si="56"/>
        <v/>
      </c>
      <c r="CT47" s="10" t="str">
        <f t="shared" si="56"/>
        <v/>
      </c>
      <c r="CU47" s="10" t="str">
        <f t="shared" si="56"/>
        <v/>
      </c>
      <c r="CV47" s="10" t="str">
        <f t="shared" si="56"/>
        <v/>
      </c>
      <c r="CW47" s="10" t="str">
        <f t="shared" si="56"/>
        <v/>
      </c>
      <c r="CX47" s="10" t="str">
        <f t="shared" si="56"/>
        <v/>
      </c>
      <c r="CY47" s="10" t="str">
        <f t="shared" si="56"/>
        <v/>
      </c>
      <c r="CZ47" s="10" t="str">
        <f t="shared" si="56"/>
        <v/>
      </c>
      <c r="DA47" s="10" t="str">
        <f t="shared" si="56"/>
        <v/>
      </c>
      <c r="DB47" s="10" t="str">
        <f t="shared" si="56"/>
        <v/>
      </c>
      <c r="DC47" s="10" t="str">
        <f t="shared" si="56"/>
        <v/>
      </c>
      <c r="DD47" s="10" t="str">
        <f t="shared" si="56"/>
        <v/>
      </c>
      <c r="DE47" s="10" t="str">
        <f t="shared" si="56"/>
        <v/>
      </c>
      <c r="DF47" s="10" t="str">
        <f t="shared" si="56"/>
        <v/>
      </c>
      <c r="DG47" s="10" t="str">
        <f t="shared" si="56"/>
        <v/>
      </c>
      <c r="DH47" s="10" t="str">
        <f t="shared" si="56"/>
        <v/>
      </c>
      <c r="DI47" s="10" t="str">
        <f t="shared" si="56"/>
        <v/>
      </c>
      <c r="DJ47" s="10" t="str">
        <f t="shared" si="56"/>
        <v/>
      </c>
    </row>
    <row r="48" spans="1:114" ht="13.5" customHeight="1">
      <c r="A48" s="1">
        <f>Gerenciamento!D48</f>
        <v>0</v>
      </c>
      <c r="B48" s="1" t="e">
        <f t="shared" si="2"/>
        <v>#VALUE!</v>
      </c>
      <c r="C48" s="2" t="e">
        <f t="shared" si="6"/>
        <v>#VALUE!</v>
      </c>
      <c r="D48" s="2" t="e">
        <f t="shared" si="7"/>
        <v>#VALUE!</v>
      </c>
      <c r="E48" s="2" t="e">
        <f t="shared" si="8"/>
        <v>#VALUE!</v>
      </c>
      <c r="F48" s="2" t="e">
        <f t="shared" si="9"/>
        <v>#VALUE!</v>
      </c>
      <c r="G48" s="5" t="e">
        <f t="shared" si="15"/>
        <v>#VALUE!</v>
      </c>
      <c r="H48" s="1" t="e">
        <f t="shared" si="10"/>
        <v>#VALUE!</v>
      </c>
      <c r="I48" s="1" t="e">
        <f t="shared" si="12"/>
        <v>#VALUE!</v>
      </c>
      <c r="J48" s="6" t="e">
        <f t="shared" si="3"/>
        <v>#VALUE!</v>
      </c>
      <c r="M48" s="9" t="b">
        <f t="shared" si="4"/>
        <v>0</v>
      </c>
      <c r="N48" s="10" t="e">
        <f t="shared" ref="N48:DJ48" si="57">IF(N$1&gt;$L$2,"",IF(N$1=$L$2,1,IF($L$2-N$1=$L$1-$M48,$L$3^($L$1-$M48),($L$3*N49*O49/(N49+($L$3-1)*O49)))))</f>
        <v>#DIV/0!</v>
      </c>
      <c r="O48" s="10" t="e">
        <f t="shared" si="57"/>
        <v>#DIV/0!</v>
      </c>
      <c r="P48" s="10">
        <f t="shared" si="57"/>
        <v>1</v>
      </c>
      <c r="Q48" s="10" t="str">
        <f t="shared" si="57"/>
        <v/>
      </c>
      <c r="R48" s="10" t="str">
        <f t="shared" si="57"/>
        <v/>
      </c>
      <c r="S48" s="10" t="str">
        <f t="shared" si="57"/>
        <v/>
      </c>
      <c r="T48" s="10" t="str">
        <f t="shared" si="57"/>
        <v/>
      </c>
      <c r="U48" s="10" t="str">
        <f t="shared" si="57"/>
        <v/>
      </c>
      <c r="V48" s="10" t="str">
        <f t="shared" si="57"/>
        <v/>
      </c>
      <c r="W48" s="10" t="str">
        <f t="shared" si="57"/>
        <v/>
      </c>
      <c r="X48" s="10" t="str">
        <f t="shared" si="57"/>
        <v/>
      </c>
      <c r="Y48" s="10" t="str">
        <f t="shared" si="57"/>
        <v/>
      </c>
      <c r="Z48" s="10" t="str">
        <f t="shared" si="57"/>
        <v/>
      </c>
      <c r="AA48" s="10" t="str">
        <f t="shared" si="57"/>
        <v/>
      </c>
      <c r="AB48" s="10" t="str">
        <f t="shared" si="57"/>
        <v/>
      </c>
      <c r="AC48" s="10" t="str">
        <f t="shared" si="57"/>
        <v/>
      </c>
      <c r="AD48" s="10" t="str">
        <f t="shared" si="57"/>
        <v/>
      </c>
      <c r="AE48" s="10" t="str">
        <f t="shared" si="57"/>
        <v/>
      </c>
      <c r="AF48" s="10" t="str">
        <f t="shared" si="57"/>
        <v/>
      </c>
      <c r="AG48" s="10" t="str">
        <f t="shared" si="57"/>
        <v/>
      </c>
      <c r="AH48" s="10" t="str">
        <f t="shared" si="57"/>
        <v/>
      </c>
      <c r="AI48" s="10" t="str">
        <f t="shared" si="57"/>
        <v/>
      </c>
      <c r="AJ48" s="10" t="str">
        <f t="shared" si="57"/>
        <v/>
      </c>
      <c r="AK48" s="10" t="str">
        <f t="shared" si="57"/>
        <v/>
      </c>
      <c r="AL48" s="10" t="str">
        <f t="shared" si="57"/>
        <v/>
      </c>
      <c r="AM48" s="10" t="str">
        <f t="shared" si="57"/>
        <v/>
      </c>
      <c r="AN48" s="10" t="str">
        <f t="shared" si="57"/>
        <v/>
      </c>
      <c r="AO48" s="10" t="str">
        <f t="shared" si="57"/>
        <v/>
      </c>
      <c r="AP48" s="10" t="str">
        <f t="shared" si="57"/>
        <v/>
      </c>
      <c r="AQ48" s="10" t="str">
        <f t="shared" si="57"/>
        <v/>
      </c>
      <c r="AR48" s="10" t="str">
        <f t="shared" si="57"/>
        <v/>
      </c>
      <c r="AS48" s="10" t="str">
        <f t="shared" si="57"/>
        <v/>
      </c>
      <c r="AT48" s="10" t="str">
        <f t="shared" si="57"/>
        <v/>
      </c>
      <c r="AU48" s="10" t="str">
        <f t="shared" si="57"/>
        <v/>
      </c>
      <c r="AV48" s="10" t="str">
        <f t="shared" si="57"/>
        <v/>
      </c>
      <c r="AW48" s="10" t="str">
        <f t="shared" si="57"/>
        <v/>
      </c>
      <c r="AX48" s="10" t="str">
        <f t="shared" si="57"/>
        <v/>
      </c>
      <c r="AY48" s="10" t="str">
        <f t="shared" si="57"/>
        <v/>
      </c>
      <c r="AZ48" s="10" t="str">
        <f t="shared" si="57"/>
        <v/>
      </c>
      <c r="BA48" s="10" t="str">
        <f t="shared" si="57"/>
        <v/>
      </c>
      <c r="BB48" s="10" t="str">
        <f t="shared" si="57"/>
        <v/>
      </c>
      <c r="BC48" s="10" t="str">
        <f t="shared" si="57"/>
        <v/>
      </c>
      <c r="BD48" s="10" t="str">
        <f t="shared" si="57"/>
        <v/>
      </c>
      <c r="BE48" s="10" t="str">
        <f t="shared" si="57"/>
        <v/>
      </c>
      <c r="BF48" s="10" t="str">
        <f t="shared" si="57"/>
        <v/>
      </c>
      <c r="BG48" s="10" t="str">
        <f t="shared" si="57"/>
        <v/>
      </c>
      <c r="BH48" s="10" t="str">
        <f t="shared" si="57"/>
        <v/>
      </c>
      <c r="BI48" s="10" t="str">
        <f t="shared" si="57"/>
        <v/>
      </c>
      <c r="BJ48" s="10" t="str">
        <f t="shared" si="57"/>
        <v/>
      </c>
      <c r="BK48" s="10" t="str">
        <f t="shared" si="57"/>
        <v/>
      </c>
      <c r="BL48" s="10" t="str">
        <f t="shared" si="57"/>
        <v/>
      </c>
      <c r="BM48" s="10" t="str">
        <f t="shared" si="57"/>
        <v/>
      </c>
      <c r="BN48" s="10" t="str">
        <f t="shared" si="57"/>
        <v/>
      </c>
      <c r="BO48" s="10" t="str">
        <f t="shared" si="57"/>
        <v/>
      </c>
      <c r="BP48" s="10" t="str">
        <f t="shared" si="57"/>
        <v/>
      </c>
      <c r="BQ48" s="10" t="str">
        <f t="shared" si="57"/>
        <v/>
      </c>
      <c r="BR48" s="10" t="str">
        <f t="shared" si="57"/>
        <v/>
      </c>
      <c r="BS48" s="10" t="str">
        <f t="shared" si="57"/>
        <v/>
      </c>
      <c r="BT48" s="10" t="str">
        <f t="shared" si="57"/>
        <v/>
      </c>
      <c r="BU48" s="10" t="str">
        <f t="shared" si="57"/>
        <v/>
      </c>
      <c r="BV48" s="10" t="str">
        <f t="shared" si="57"/>
        <v/>
      </c>
      <c r="BW48" s="10" t="str">
        <f t="shared" si="57"/>
        <v/>
      </c>
      <c r="BX48" s="10" t="str">
        <f t="shared" si="57"/>
        <v/>
      </c>
      <c r="BY48" s="10" t="str">
        <f t="shared" si="57"/>
        <v/>
      </c>
      <c r="BZ48" s="10" t="str">
        <f t="shared" si="57"/>
        <v/>
      </c>
      <c r="CA48" s="10" t="str">
        <f t="shared" si="57"/>
        <v/>
      </c>
      <c r="CB48" s="10" t="str">
        <f t="shared" si="57"/>
        <v/>
      </c>
      <c r="CC48" s="10" t="str">
        <f t="shared" si="57"/>
        <v/>
      </c>
      <c r="CD48" s="10" t="str">
        <f t="shared" si="57"/>
        <v/>
      </c>
      <c r="CE48" s="10" t="str">
        <f t="shared" si="57"/>
        <v/>
      </c>
      <c r="CF48" s="10" t="str">
        <f t="shared" si="57"/>
        <v/>
      </c>
      <c r="CG48" s="10" t="str">
        <f t="shared" si="57"/>
        <v/>
      </c>
      <c r="CH48" s="10" t="str">
        <f t="shared" si="57"/>
        <v/>
      </c>
      <c r="CI48" s="10" t="str">
        <f t="shared" si="57"/>
        <v/>
      </c>
      <c r="CJ48" s="10" t="str">
        <f t="shared" si="57"/>
        <v/>
      </c>
      <c r="CK48" s="10" t="str">
        <f t="shared" si="57"/>
        <v/>
      </c>
      <c r="CL48" s="10" t="str">
        <f t="shared" si="57"/>
        <v/>
      </c>
      <c r="CM48" s="10" t="str">
        <f t="shared" si="57"/>
        <v/>
      </c>
      <c r="CN48" s="10" t="str">
        <f t="shared" si="57"/>
        <v/>
      </c>
      <c r="CO48" s="10" t="str">
        <f t="shared" si="57"/>
        <v/>
      </c>
      <c r="CP48" s="10" t="str">
        <f t="shared" si="57"/>
        <v/>
      </c>
      <c r="CQ48" s="10" t="str">
        <f t="shared" si="57"/>
        <v/>
      </c>
      <c r="CR48" s="10" t="str">
        <f t="shared" si="57"/>
        <v/>
      </c>
      <c r="CS48" s="10" t="str">
        <f t="shared" si="57"/>
        <v/>
      </c>
      <c r="CT48" s="10" t="str">
        <f t="shared" si="57"/>
        <v/>
      </c>
      <c r="CU48" s="10" t="str">
        <f t="shared" si="57"/>
        <v/>
      </c>
      <c r="CV48" s="10" t="str">
        <f t="shared" si="57"/>
        <v/>
      </c>
      <c r="CW48" s="10" t="str">
        <f t="shared" si="57"/>
        <v/>
      </c>
      <c r="CX48" s="10" t="str">
        <f t="shared" si="57"/>
        <v/>
      </c>
      <c r="CY48" s="10" t="str">
        <f t="shared" si="57"/>
        <v/>
      </c>
      <c r="CZ48" s="10" t="str">
        <f t="shared" si="57"/>
        <v/>
      </c>
      <c r="DA48" s="10" t="str">
        <f t="shared" si="57"/>
        <v/>
      </c>
      <c r="DB48" s="10" t="str">
        <f t="shared" si="57"/>
        <v/>
      </c>
      <c r="DC48" s="10" t="str">
        <f t="shared" si="57"/>
        <v/>
      </c>
      <c r="DD48" s="10" t="str">
        <f t="shared" si="57"/>
        <v/>
      </c>
      <c r="DE48" s="10" t="str">
        <f t="shared" si="57"/>
        <v/>
      </c>
      <c r="DF48" s="10" t="str">
        <f t="shared" si="57"/>
        <v/>
      </c>
      <c r="DG48" s="10" t="str">
        <f t="shared" si="57"/>
        <v/>
      </c>
      <c r="DH48" s="10" t="str">
        <f t="shared" si="57"/>
        <v/>
      </c>
      <c r="DI48" s="10" t="str">
        <f t="shared" si="57"/>
        <v/>
      </c>
      <c r="DJ48" s="10" t="str">
        <f t="shared" si="57"/>
        <v/>
      </c>
    </row>
    <row r="49" spans="1:114" ht="13.5" customHeight="1">
      <c r="A49" s="1">
        <f>Gerenciamento!D49</f>
        <v>0</v>
      </c>
      <c r="B49" s="1" t="e">
        <f t="shared" si="2"/>
        <v>#VALUE!</v>
      </c>
      <c r="C49" s="2" t="e">
        <f t="shared" si="6"/>
        <v>#VALUE!</v>
      </c>
      <c r="D49" s="2" t="e">
        <f t="shared" si="7"/>
        <v>#VALUE!</v>
      </c>
      <c r="E49" s="2" t="e">
        <f t="shared" si="8"/>
        <v>#VALUE!</v>
      </c>
      <c r="F49" s="2" t="e">
        <f t="shared" si="9"/>
        <v>#VALUE!</v>
      </c>
      <c r="G49" s="5" t="e">
        <f t="shared" si="15"/>
        <v>#VALUE!</v>
      </c>
      <c r="H49" s="1" t="e">
        <f t="shared" si="10"/>
        <v>#VALUE!</v>
      </c>
      <c r="I49" s="1" t="e">
        <f t="shared" si="12"/>
        <v>#VALUE!</v>
      </c>
      <c r="J49" s="6" t="e">
        <f t="shared" si="3"/>
        <v>#VALUE!</v>
      </c>
      <c r="M49" s="9" t="b">
        <f t="shared" si="4"/>
        <v>0</v>
      </c>
      <c r="N49" s="10" t="e">
        <f t="shared" ref="N49:DJ49" si="58">IF(N$1&gt;$L$2,"",IF(N$1=$L$2,1,IF($L$2-N$1=$L$1-$M49,$L$3^($L$1-$M49),($L$3*N50*O50/(N50+($L$3-1)*O50)))))</f>
        <v>#DIV/0!</v>
      </c>
      <c r="O49" s="10" t="e">
        <f t="shared" si="58"/>
        <v>#DIV/0!</v>
      </c>
      <c r="P49" s="10">
        <f t="shared" si="58"/>
        <v>1</v>
      </c>
      <c r="Q49" s="10" t="str">
        <f t="shared" si="58"/>
        <v/>
      </c>
      <c r="R49" s="10" t="str">
        <f t="shared" si="58"/>
        <v/>
      </c>
      <c r="S49" s="10" t="str">
        <f t="shared" si="58"/>
        <v/>
      </c>
      <c r="T49" s="10" t="str">
        <f t="shared" si="58"/>
        <v/>
      </c>
      <c r="U49" s="10" t="str">
        <f t="shared" si="58"/>
        <v/>
      </c>
      <c r="V49" s="10" t="str">
        <f t="shared" si="58"/>
        <v/>
      </c>
      <c r="W49" s="10" t="str">
        <f t="shared" si="58"/>
        <v/>
      </c>
      <c r="X49" s="10" t="str">
        <f t="shared" si="58"/>
        <v/>
      </c>
      <c r="Y49" s="10" t="str">
        <f t="shared" si="58"/>
        <v/>
      </c>
      <c r="Z49" s="10" t="str">
        <f t="shared" si="58"/>
        <v/>
      </c>
      <c r="AA49" s="10" t="str">
        <f t="shared" si="58"/>
        <v/>
      </c>
      <c r="AB49" s="10" t="str">
        <f t="shared" si="58"/>
        <v/>
      </c>
      <c r="AC49" s="10" t="str">
        <f t="shared" si="58"/>
        <v/>
      </c>
      <c r="AD49" s="10" t="str">
        <f t="shared" si="58"/>
        <v/>
      </c>
      <c r="AE49" s="10" t="str">
        <f t="shared" si="58"/>
        <v/>
      </c>
      <c r="AF49" s="10" t="str">
        <f t="shared" si="58"/>
        <v/>
      </c>
      <c r="AG49" s="10" t="str">
        <f t="shared" si="58"/>
        <v/>
      </c>
      <c r="AH49" s="10" t="str">
        <f t="shared" si="58"/>
        <v/>
      </c>
      <c r="AI49" s="10" t="str">
        <f t="shared" si="58"/>
        <v/>
      </c>
      <c r="AJ49" s="10" t="str">
        <f t="shared" si="58"/>
        <v/>
      </c>
      <c r="AK49" s="10" t="str">
        <f t="shared" si="58"/>
        <v/>
      </c>
      <c r="AL49" s="10" t="str">
        <f t="shared" si="58"/>
        <v/>
      </c>
      <c r="AM49" s="10" t="str">
        <f t="shared" si="58"/>
        <v/>
      </c>
      <c r="AN49" s="10" t="str">
        <f t="shared" si="58"/>
        <v/>
      </c>
      <c r="AO49" s="10" t="str">
        <f t="shared" si="58"/>
        <v/>
      </c>
      <c r="AP49" s="10" t="str">
        <f t="shared" si="58"/>
        <v/>
      </c>
      <c r="AQ49" s="10" t="str">
        <f t="shared" si="58"/>
        <v/>
      </c>
      <c r="AR49" s="10" t="str">
        <f t="shared" si="58"/>
        <v/>
      </c>
      <c r="AS49" s="10" t="str">
        <f t="shared" si="58"/>
        <v/>
      </c>
      <c r="AT49" s="10" t="str">
        <f t="shared" si="58"/>
        <v/>
      </c>
      <c r="AU49" s="10" t="str">
        <f t="shared" si="58"/>
        <v/>
      </c>
      <c r="AV49" s="10" t="str">
        <f t="shared" si="58"/>
        <v/>
      </c>
      <c r="AW49" s="10" t="str">
        <f t="shared" si="58"/>
        <v/>
      </c>
      <c r="AX49" s="10" t="str">
        <f t="shared" si="58"/>
        <v/>
      </c>
      <c r="AY49" s="10" t="str">
        <f t="shared" si="58"/>
        <v/>
      </c>
      <c r="AZ49" s="10" t="str">
        <f t="shared" si="58"/>
        <v/>
      </c>
      <c r="BA49" s="10" t="str">
        <f t="shared" si="58"/>
        <v/>
      </c>
      <c r="BB49" s="10" t="str">
        <f t="shared" si="58"/>
        <v/>
      </c>
      <c r="BC49" s="10" t="str">
        <f t="shared" si="58"/>
        <v/>
      </c>
      <c r="BD49" s="10" t="str">
        <f t="shared" si="58"/>
        <v/>
      </c>
      <c r="BE49" s="10" t="str">
        <f t="shared" si="58"/>
        <v/>
      </c>
      <c r="BF49" s="10" t="str">
        <f t="shared" si="58"/>
        <v/>
      </c>
      <c r="BG49" s="10" t="str">
        <f t="shared" si="58"/>
        <v/>
      </c>
      <c r="BH49" s="10" t="str">
        <f t="shared" si="58"/>
        <v/>
      </c>
      <c r="BI49" s="10" t="str">
        <f t="shared" si="58"/>
        <v/>
      </c>
      <c r="BJ49" s="10" t="str">
        <f t="shared" si="58"/>
        <v/>
      </c>
      <c r="BK49" s="10" t="str">
        <f t="shared" si="58"/>
        <v/>
      </c>
      <c r="BL49" s="10" t="str">
        <f t="shared" si="58"/>
        <v/>
      </c>
      <c r="BM49" s="10" t="str">
        <f t="shared" si="58"/>
        <v/>
      </c>
      <c r="BN49" s="10" t="str">
        <f t="shared" si="58"/>
        <v/>
      </c>
      <c r="BO49" s="10" t="str">
        <f t="shared" si="58"/>
        <v/>
      </c>
      <c r="BP49" s="10" t="str">
        <f t="shared" si="58"/>
        <v/>
      </c>
      <c r="BQ49" s="10" t="str">
        <f t="shared" si="58"/>
        <v/>
      </c>
      <c r="BR49" s="10" t="str">
        <f t="shared" si="58"/>
        <v/>
      </c>
      <c r="BS49" s="10" t="str">
        <f t="shared" si="58"/>
        <v/>
      </c>
      <c r="BT49" s="10" t="str">
        <f t="shared" si="58"/>
        <v/>
      </c>
      <c r="BU49" s="10" t="str">
        <f t="shared" si="58"/>
        <v/>
      </c>
      <c r="BV49" s="10" t="str">
        <f t="shared" si="58"/>
        <v/>
      </c>
      <c r="BW49" s="10" t="str">
        <f t="shared" si="58"/>
        <v/>
      </c>
      <c r="BX49" s="10" t="str">
        <f t="shared" si="58"/>
        <v/>
      </c>
      <c r="BY49" s="10" t="str">
        <f t="shared" si="58"/>
        <v/>
      </c>
      <c r="BZ49" s="10" t="str">
        <f t="shared" si="58"/>
        <v/>
      </c>
      <c r="CA49" s="10" t="str">
        <f t="shared" si="58"/>
        <v/>
      </c>
      <c r="CB49" s="10" t="str">
        <f t="shared" si="58"/>
        <v/>
      </c>
      <c r="CC49" s="10" t="str">
        <f t="shared" si="58"/>
        <v/>
      </c>
      <c r="CD49" s="10" t="str">
        <f t="shared" si="58"/>
        <v/>
      </c>
      <c r="CE49" s="10" t="str">
        <f t="shared" si="58"/>
        <v/>
      </c>
      <c r="CF49" s="10" t="str">
        <f t="shared" si="58"/>
        <v/>
      </c>
      <c r="CG49" s="10" t="str">
        <f t="shared" si="58"/>
        <v/>
      </c>
      <c r="CH49" s="10" t="str">
        <f t="shared" si="58"/>
        <v/>
      </c>
      <c r="CI49" s="10" t="str">
        <f t="shared" si="58"/>
        <v/>
      </c>
      <c r="CJ49" s="10" t="str">
        <f t="shared" si="58"/>
        <v/>
      </c>
      <c r="CK49" s="10" t="str">
        <f t="shared" si="58"/>
        <v/>
      </c>
      <c r="CL49" s="10" t="str">
        <f t="shared" si="58"/>
        <v/>
      </c>
      <c r="CM49" s="10" t="str">
        <f t="shared" si="58"/>
        <v/>
      </c>
      <c r="CN49" s="10" t="str">
        <f t="shared" si="58"/>
        <v/>
      </c>
      <c r="CO49" s="10" t="str">
        <f t="shared" si="58"/>
        <v/>
      </c>
      <c r="CP49" s="10" t="str">
        <f t="shared" si="58"/>
        <v/>
      </c>
      <c r="CQ49" s="10" t="str">
        <f t="shared" si="58"/>
        <v/>
      </c>
      <c r="CR49" s="10" t="str">
        <f t="shared" si="58"/>
        <v/>
      </c>
      <c r="CS49" s="10" t="str">
        <f t="shared" si="58"/>
        <v/>
      </c>
      <c r="CT49" s="10" t="str">
        <f t="shared" si="58"/>
        <v/>
      </c>
      <c r="CU49" s="10" t="str">
        <f t="shared" si="58"/>
        <v/>
      </c>
      <c r="CV49" s="10" t="str">
        <f t="shared" si="58"/>
        <v/>
      </c>
      <c r="CW49" s="10" t="str">
        <f t="shared" si="58"/>
        <v/>
      </c>
      <c r="CX49" s="10" t="str">
        <f t="shared" si="58"/>
        <v/>
      </c>
      <c r="CY49" s="10" t="str">
        <f t="shared" si="58"/>
        <v/>
      </c>
      <c r="CZ49" s="10" t="str">
        <f t="shared" si="58"/>
        <v/>
      </c>
      <c r="DA49" s="10" t="str">
        <f t="shared" si="58"/>
        <v/>
      </c>
      <c r="DB49" s="10" t="str">
        <f t="shared" si="58"/>
        <v/>
      </c>
      <c r="DC49" s="10" t="str">
        <f t="shared" si="58"/>
        <v/>
      </c>
      <c r="DD49" s="10" t="str">
        <f t="shared" si="58"/>
        <v/>
      </c>
      <c r="DE49" s="10" t="str">
        <f t="shared" si="58"/>
        <v/>
      </c>
      <c r="DF49" s="10" t="str">
        <f t="shared" si="58"/>
        <v/>
      </c>
      <c r="DG49" s="10" t="str">
        <f t="shared" si="58"/>
        <v/>
      </c>
      <c r="DH49" s="10" t="str">
        <f t="shared" si="58"/>
        <v/>
      </c>
      <c r="DI49" s="10" t="str">
        <f t="shared" si="58"/>
        <v/>
      </c>
      <c r="DJ49" s="10" t="str">
        <f t="shared" si="58"/>
        <v/>
      </c>
    </row>
    <row r="50" spans="1:114" ht="13.5" customHeight="1">
      <c r="A50" s="1">
        <f>Gerenciamento!D50</f>
        <v>0</v>
      </c>
      <c r="B50" s="1" t="e">
        <f t="shared" si="2"/>
        <v>#VALUE!</v>
      </c>
      <c r="C50" s="2" t="e">
        <f t="shared" si="6"/>
        <v>#VALUE!</v>
      </c>
      <c r="D50" s="2" t="e">
        <f t="shared" si="7"/>
        <v>#VALUE!</v>
      </c>
      <c r="E50" s="2" t="e">
        <f t="shared" si="8"/>
        <v>#VALUE!</v>
      </c>
      <c r="F50" s="2" t="e">
        <f t="shared" si="9"/>
        <v>#VALUE!</v>
      </c>
      <c r="G50" s="5" t="e">
        <f t="shared" si="15"/>
        <v>#VALUE!</v>
      </c>
      <c r="H50" s="1" t="e">
        <f t="shared" si="10"/>
        <v>#VALUE!</v>
      </c>
      <c r="I50" s="1" t="e">
        <f t="shared" si="12"/>
        <v>#VALUE!</v>
      </c>
      <c r="J50" s="6" t="e">
        <f t="shared" si="3"/>
        <v>#VALUE!</v>
      </c>
      <c r="M50" s="9" t="b">
        <f t="shared" si="4"/>
        <v>0</v>
      </c>
      <c r="N50" s="10" t="e">
        <f t="shared" ref="N50:DJ50" si="59">IF(N$1&gt;$L$2,"",IF(N$1=$L$2,1,IF($L$2-N$1=$L$1-$M50,$L$3^($L$1-$M50),($L$3*N51*O51/(N51+($L$3-1)*O51)))))</f>
        <v>#DIV/0!</v>
      </c>
      <c r="O50" s="10" t="e">
        <f t="shared" si="59"/>
        <v>#DIV/0!</v>
      </c>
      <c r="P50" s="10">
        <f t="shared" si="59"/>
        <v>1</v>
      </c>
      <c r="Q50" s="10" t="str">
        <f t="shared" si="59"/>
        <v/>
      </c>
      <c r="R50" s="10" t="str">
        <f t="shared" si="59"/>
        <v/>
      </c>
      <c r="S50" s="10" t="str">
        <f t="shared" si="59"/>
        <v/>
      </c>
      <c r="T50" s="10" t="str">
        <f t="shared" si="59"/>
        <v/>
      </c>
      <c r="U50" s="10" t="str">
        <f t="shared" si="59"/>
        <v/>
      </c>
      <c r="V50" s="10" t="str">
        <f t="shared" si="59"/>
        <v/>
      </c>
      <c r="W50" s="10" t="str">
        <f t="shared" si="59"/>
        <v/>
      </c>
      <c r="X50" s="10" t="str">
        <f t="shared" si="59"/>
        <v/>
      </c>
      <c r="Y50" s="10" t="str">
        <f t="shared" si="59"/>
        <v/>
      </c>
      <c r="Z50" s="10" t="str">
        <f t="shared" si="59"/>
        <v/>
      </c>
      <c r="AA50" s="10" t="str">
        <f t="shared" si="59"/>
        <v/>
      </c>
      <c r="AB50" s="10" t="str">
        <f t="shared" si="59"/>
        <v/>
      </c>
      <c r="AC50" s="10" t="str">
        <f t="shared" si="59"/>
        <v/>
      </c>
      <c r="AD50" s="10" t="str">
        <f t="shared" si="59"/>
        <v/>
      </c>
      <c r="AE50" s="10" t="str">
        <f t="shared" si="59"/>
        <v/>
      </c>
      <c r="AF50" s="10" t="str">
        <f t="shared" si="59"/>
        <v/>
      </c>
      <c r="AG50" s="10" t="str">
        <f t="shared" si="59"/>
        <v/>
      </c>
      <c r="AH50" s="10" t="str">
        <f t="shared" si="59"/>
        <v/>
      </c>
      <c r="AI50" s="10" t="str">
        <f t="shared" si="59"/>
        <v/>
      </c>
      <c r="AJ50" s="10" t="str">
        <f t="shared" si="59"/>
        <v/>
      </c>
      <c r="AK50" s="10" t="str">
        <f t="shared" si="59"/>
        <v/>
      </c>
      <c r="AL50" s="10" t="str">
        <f t="shared" si="59"/>
        <v/>
      </c>
      <c r="AM50" s="10" t="str">
        <f t="shared" si="59"/>
        <v/>
      </c>
      <c r="AN50" s="10" t="str">
        <f t="shared" si="59"/>
        <v/>
      </c>
      <c r="AO50" s="10" t="str">
        <f t="shared" si="59"/>
        <v/>
      </c>
      <c r="AP50" s="10" t="str">
        <f t="shared" si="59"/>
        <v/>
      </c>
      <c r="AQ50" s="10" t="str">
        <f t="shared" si="59"/>
        <v/>
      </c>
      <c r="AR50" s="10" t="str">
        <f t="shared" si="59"/>
        <v/>
      </c>
      <c r="AS50" s="10" t="str">
        <f t="shared" si="59"/>
        <v/>
      </c>
      <c r="AT50" s="10" t="str">
        <f t="shared" si="59"/>
        <v/>
      </c>
      <c r="AU50" s="10" t="str">
        <f t="shared" si="59"/>
        <v/>
      </c>
      <c r="AV50" s="10" t="str">
        <f t="shared" si="59"/>
        <v/>
      </c>
      <c r="AW50" s="10" t="str">
        <f t="shared" si="59"/>
        <v/>
      </c>
      <c r="AX50" s="10" t="str">
        <f t="shared" si="59"/>
        <v/>
      </c>
      <c r="AY50" s="10" t="str">
        <f t="shared" si="59"/>
        <v/>
      </c>
      <c r="AZ50" s="10" t="str">
        <f t="shared" si="59"/>
        <v/>
      </c>
      <c r="BA50" s="10" t="str">
        <f t="shared" si="59"/>
        <v/>
      </c>
      <c r="BB50" s="10" t="str">
        <f t="shared" si="59"/>
        <v/>
      </c>
      <c r="BC50" s="10" t="str">
        <f t="shared" si="59"/>
        <v/>
      </c>
      <c r="BD50" s="10" t="str">
        <f t="shared" si="59"/>
        <v/>
      </c>
      <c r="BE50" s="10" t="str">
        <f t="shared" si="59"/>
        <v/>
      </c>
      <c r="BF50" s="10" t="str">
        <f t="shared" si="59"/>
        <v/>
      </c>
      <c r="BG50" s="10" t="str">
        <f t="shared" si="59"/>
        <v/>
      </c>
      <c r="BH50" s="10" t="str">
        <f t="shared" si="59"/>
        <v/>
      </c>
      <c r="BI50" s="10" t="str">
        <f t="shared" si="59"/>
        <v/>
      </c>
      <c r="BJ50" s="10" t="str">
        <f t="shared" si="59"/>
        <v/>
      </c>
      <c r="BK50" s="10" t="str">
        <f t="shared" si="59"/>
        <v/>
      </c>
      <c r="BL50" s="10" t="str">
        <f t="shared" si="59"/>
        <v/>
      </c>
      <c r="BM50" s="10" t="str">
        <f t="shared" si="59"/>
        <v/>
      </c>
      <c r="BN50" s="10" t="str">
        <f t="shared" si="59"/>
        <v/>
      </c>
      <c r="BO50" s="10" t="str">
        <f t="shared" si="59"/>
        <v/>
      </c>
      <c r="BP50" s="10" t="str">
        <f t="shared" si="59"/>
        <v/>
      </c>
      <c r="BQ50" s="10" t="str">
        <f t="shared" si="59"/>
        <v/>
      </c>
      <c r="BR50" s="10" t="str">
        <f t="shared" si="59"/>
        <v/>
      </c>
      <c r="BS50" s="10" t="str">
        <f t="shared" si="59"/>
        <v/>
      </c>
      <c r="BT50" s="10" t="str">
        <f t="shared" si="59"/>
        <v/>
      </c>
      <c r="BU50" s="10" t="str">
        <f t="shared" si="59"/>
        <v/>
      </c>
      <c r="BV50" s="10" t="str">
        <f t="shared" si="59"/>
        <v/>
      </c>
      <c r="BW50" s="10" t="str">
        <f t="shared" si="59"/>
        <v/>
      </c>
      <c r="BX50" s="10" t="str">
        <f t="shared" si="59"/>
        <v/>
      </c>
      <c r="BY50" s="10" t="str">
        <f t="shared" si="59"/>
        <v/>
      </c>
      <c r="BZ50" s="10" t="str">
        <f t="shared" si="59"/>
        <v/>
      </c>
      <c r="CA50" s="10" t="str">
        <f t="shared" si="59"/>
        <v/>
      </c>
      <c r="CB50" s="10" t="str">
        <f t="shared" si="59"/>
        <v/>
      </c>
      <c r="CC50" s="10" t="str">
        <f t="shared" si="59"/>
        <v/>
      </c>
      <c r="CD50" s="10" t="str">
        <f t="shared" si="59"/>
        <v/>
      </c>
      <c r="CE50" s="10" t="str">
        <f t="shared" si="59"/>
        <v/>
      </c>
      <c r="CF50" s="10" t="str">
        <f t="shared" si="59"/>
        <v/>
      </c>
      <c r="CG50" s="10" t="str">
        <f t="shared" si="59"/>
        <v/>
      </c>
      <c r="CH50" s="10" t="str">
        <f t="shared" si="59"/>
        <v/>
      </c>
      <c r="CI50" s="10" t="str">
        <f t="shared" si="59"/>
        <v/>
      </c>
      <c r="CJ50" s="10" t="str">
        <f t="shared" si="59"/>
        <v/>
      </c>
      <c r="CK50" s="10" t="str">
        <f t="shared" si="59"/>
        <v/>
      </c>
      <c r="CL50" s="10" t="str">
        <f t="shared" si="59"/>
        <v/>
      </c>
      <c r="CM50" s="10" t="str">
        <f t="shared" si="59"/>
        <v/>
      </c>
      <c r="CN50" s="10" t="str">
        <f t="shared" si="59"/>
        <v/>
      </c>
      <c r="CO50" s="10" t="str">
        <f t="shared" si="59"/>
        <v/>
      </c>
      <c r="CP50" s="10" t="str">
        <f t="shared" si="59"/>
        <v/>
      </c>
      <c r="CQ50" s="10" t="str">
        <f t="shared" si="59"/>
        <v/>
      </c>
      <c r="CR50" s="10" t="str">
        <f t="shared" si="59"/>
        <v/>
      </c>
      <c r="CS50" s="10" t="str">
        <f t="shared" si="59"/>
        <v/>
      </c>
      <c r="CT50" s="10" t="str">
        <f t="shared" si="59"/>
        <v/>
      </c>
      <c r="CU50" s="10" t="str">
        <f t="shared" si="59"/>
        <v/>
      </c>
      <c r="CV50" s="10" t="str">
        <f t="shared" si="59"/>
        <v/>
      </c>
      <c r="CW50" s="10" t="str">
        <f t="shared" si="59"/>
        <v/>
      </c>
      <c r="CX50" s="10" t="str">
        <f t="shared" si="59"/>
        <v/>
      </c>
      <c r="CY50" s="10" t="str">
        <f t="shared" si="59"/>
        <v/>
      </c>
      <c r="CZ50" s="10" t="str">
        <f t="shared" si="59"/>
        <v/>
      </c>
      <c r="DA50" s="10" t="str">
        <f t="shared" si="59"/>
        <v/>
      </c>
      <c r="DB50" s="10" t="str">
        <f t="shared" si="59"/>
        <v/>
      </c>
      <c r="DC50" s="10" t="str">
        <f t="shared" si="59"/>
        <v/>
      </c>
      <c r="DD50" s="10" t="str">
        <f t="shared" si="59"/>
        <v/>
      </c>
      <c r="DE50" s="10" t="str">
        <f t="shared" si="59"/>
        <v/>
      </c>
      <c r="DF50" s="10" t="str">
        <f t="shared" si="59"/>
        <v/>
      </c>
      <c r="DG50" s="10" t="str">
        <f t="shared" si="59"/>
        <v/>
      </c>
      <c r="DH50" s="10" t="str">
        <f t="shared" si="59"/>
        <v/>
      </c>
      <c r="DI50" s="10" t="str">
        <f t="shared" si="59"/>
        <v/>
      </c>
      <c r="DJ50" s="10" t="str">
        <f t="shared" si="59"/>
        <v/>
      </c>
    </row>
    <row r="51" spans="1:114" ht="13.5" customHeight="1">
      <c r="A51" s="1">
        <f>Gerenciamento!D51</f>
        <v>0</v>
      </c>
      <c r="B51" s="1" t="e">
        <f t="shared" si="2"/>
        <v>#VALUE!</v>
      </c>
      <c r="C51" s="2" t="e">
        <f t="shared" si="6"/>
        <v>#VALUE!</v>
      </c>
      <c r="D51" s="2" t="e">
        <f t="shared" si="7"/>
        <v>#VALUE!</v>
      </c>
      <c r="E51" s="2" t="e">
        <f t="shared" si="8"/>
        <v>#VALUE!</v>
      </c>
      <c r="F51" s="2" t="e">
        <f t="shared" si="9"/>
        <v>#VALUE!</v>
      </c>
      <c r="G51" s="5" t="e">
        <f t="shared" si="15"/>
        <v>#VALUE!</v>
      </c>
      <c r="H51" s="1" t="e">
        <f t="shared" si="10"/>
        <v>#VALUE!</v>
      </c>
      <c r="I51" s="1" t="e">
        <f t="shared" si="12"/>
        <v>#VALUE!</v>
      </c>
      <c r="J51" s="6" t="e">
        <f t="shared" si="3"/>
        <v>#VALUE!</v>
      </c>
      <c r="M51" s="9" t="b">
        <f t="shared" si="4"/>
        <v>0</v>
      </c>
      <c r="N51" s="10" t="e">
        <f t="shared" ref="N51:DJ51" si="60">IF(N$1&gt;$L$2,"",IF(N$1=$L$2,1,IF($L$2-N$1=$L$1-$M51,$L$3^($L$1-$M51),($L$3*N52*O52/(N52+($L$3-1)*O52)))))</f>
        <v>#DIV/0!</v>
      </c>
      <c r="O51" s="10" t="e">
        <f t="shared" si="60"/>
        <v>#DIV/0!</v>
      </c>
      <c r="P51" s="10">
        <f t="shared" si="60"/>
        <v>1</v>
      </c>
      <c r="Q51" s="10" t="str">
        <f t="shared" si="60"/>
        <v/>
      </c>
      <c r="R51" s="10" t="str">
        <f t="shared" si="60"/>
        <v/>
      </c>
      <c r="S51" s="10" t="str">
        <f t="shared" si="60"/>
        <v/>
      </c>
      <c r="T51" s="10" t="str">
        <f t="shared" si="60"/>
        <v/>
      </c>
      <c r="U51" s="10" t="str">
        <f t="shared" si="60"/>
        <v/>
      </c>
      <c r="V51" s="10" t="str">
        <f t="shared" si="60"/>
        <v/>
      </c>
      <c r="W51" s="10" t="str">
        <f t="shared" si="60"/>
        <v/>
      </c>
      <c r="X51" s="10" t="str">
        <f t="shared" si="60"/>
        <v/>
      </c>
      <c r="Y51" s="10" t="str">
        <f t="shared" si="60"/>
        <v/>
      </c>
      <c r="Z51" s="10" t="str">
        <f t="shared" si="60"/>
        <v/>
      </c>
      <c r="AA51" s="10" t="str">
        <f t="shared" si="60"/>
        <v/>
      </c>
      <c r="AB51" s="10" t="str">
        <f t="shared" si="60"/>
        <v/>
      </c>
      <c r="AC51" s="10" t="str">
        <f t="shared" si="60"/>
        <v/>
      </c>
      <c r="AD51" s="10" t="str">
        <f t="shared" si="60"/>
        <v/>
      </c>
      <c r="AE51" s="10" t="str">
        <f t="shared" si="60"/>
        <v/>
      </c>
      <c r="AF51" s="10" t="str">
        <f t="shared" si="60"/>
        <v/>
      </c>
      <c r="AG51" s="10" t="str">
        <f t="shared" si="60"/>
        <v/>
      </c>
      <c r="AH51" s="10" t="str">
        <f t="shared" si="60"/>
        <v/>
      </c>
      <c r="AI51" s="10" t="str">
        <f t="shared" si="60"/>
        <v/>
      </c>
      <c r="AJ51" s="10" t="str">
        <f t="shared" si="60"/>
        <v/>
      </c>
      <c r="AK51" s="10" t="str">
        <f t="shared" si="60"/>
        <v/>
      </c>
      <c r="AL51" s="10" t="str">
        <f t="shared" si="60"/>
        <v/>
      </c>
      <c r="AM51" s="10" t="str">
        <f t="shared" si="60"/>
        <v/>
      </c>
      <c r="AN51" s="10" t="str">
        <f t="shared" si="60"/>
        <v/>
      </c>
      <c r="AO51" s="10" t="str">
        <f t="shared" si="60"/>
        <v/>
      </c>
      <c r="AP51" s="10" t="str">
        <f t="shared" si="60"/>
        <v/>
      </c>
      <c r="AQ51" s="10" t="str">
        <f t="shared" si="60"/>
        <v/>
      </c>
      <c r="AR51" s="10" t="str">
        <f t="shared" si="60"/>
        <v/>
      </c>
      <c r="AS51" s="10" t="str">
        <f t="shared" si="60"/>
        <v/>
      </c>
      <c r="AT51" s="10" t="str">
        <f t="shared" si="60"/>
        <v/>
      </c>
      <c r="AU51" s="10" t="str">
        <f t="shared" si="60"/>
        <v/>
      </c>
      <c r="AV51" s="10" t="str">
        <f t="shared" si="60"/>
        <v/>
      </c>
      <c r="AW51" s="10" t="str">
        <f t="shared" si="60"/>
        <v/>
      </c>
      <c r="AX51" s="10" t="str">
        <f t="shared" si="60"/>
        <v/>
      </c>
      <c r="AY51" s="10" t="str">
        <f t="shared" si="60"/>
        <v/>
      </c>
      <c r="AZ51" s="10" t="str">
        <f t="shared" si="60"/>
        <v/>
      </c>
      <c r="BA51" s="10" t="str">
        <f t="shared" si="60"/>
        <v/>
      </c>
      <c r="BB51" s="10" t="str">
        <f t="shared" si="60"/>
        <v/>
      </c>
      <c r="BC51" s="10" t="str">
        <f t="shared" si="60"/>
        <v/>
      </c>
      <c r="BD51" s="10" t="str">
        <f t="shared" si="60"/>
        <v/>
      </c>
      <c r="BE51" s="10" t="str">
        <f t="shared" si="60"/>
        <v/>
      </c>
      <c r="BF51" s="10" t="str">
        <f t="shared" si="60"/>
        <v/>
      </c>
      <c r="BG51" s="10" t="str">
        <f t="shared" si="60"/>
        <v/>
      </c>
      <c r="BH51" s="10" t="str">
        <f t="shared" si="60"/>
        <v/>
      </c>
      <c r="BI51" s="10" t="str">
        <f t="shared" si="60"/>
        <v/>
      </c>
      <c r="BJ51" s="10" t="str">
        <f t="shared" si="60"/>
        <v/>
      </c>
      <c r="BK51" s="10" t="str">
        <f t="shared" si="60"/>
        <v/>
      </c>
      <c r="BL51" s="10" t="str">
        <f t="shared" si="60"/>
        <v/>
      </c>
      <c r="BM51" s="10" t="str">
        <f t="shared" si="60"/>
        <v/>
      </c>
      <c r="BN51" s="10" t="str">
        <f t="shared" si="60"/>
        <v/>
      </c>
      <c r="BO51" s="10" t="str">
        <f t="shared" si="60"/>
        <v/>
      </c>
      <c r="BP51" s="10" t="str">
        <f t="shared" si="60"/>
        <v/>
      </c>
      <c r="BQ51" s="10" t="str">
        <f t="shared" si="60"/>
        <v/>
      </c>
      <c r="BR51" s="10" t="str">
        <f t="shared" si="60"/>
        <v/>
      </c>
      <c r="BS51" s="10" t="str">
        <f t="shared" si="60"/>
        <v/>
      </c>
      <c r="BT51" s="10" t="str">
        <f t="shared" si="60"/>
        <v/>
      </c>
      <c r="BU51" s="10" t="str">
        <f t="shared" si="60"/>
        <v/>
      </c>
      <c r="BV51" s="10" t="str">
        <f t="shared" si="60"/>
        <v/>
      </c>
      <c r="BW51" s="10" t="str">
        <f t="shared" si="60"/>
        <v/>
      </c>
      <c r="BX51" s="10" t="str">
        <f t="shared" si="60"/>
        <v/>
      </c>
      <c r="BY51" s="10" t="str">
        <f t="shared" si="60"/>
        <v/>
      </c>
      <c r="BZ51" s="10" t="str">
        <f t="shared" si="60"/>
        <v/>
      </c>
      <c r="CA51" s="10" t="str">
        <f t="shared" si="60"/>
        <v/>
      </c>
      <c r="CB51" s="10" t="str">
        <f t="shared" si="60"/>
        <v/>
      </c>
      <c r="CC51" s="10" t="str">
        <f t="shared" si="60"/>
        <v/>
      </c>
      <c r="CD51" s="10" t="str">
        <f t="shared" si="60"/>
        <v/>
      </c>
      <c r="CE51" s="10" t="str">
        <f t="shared" si="60"/>
        <v/>
      </c>
      <c r="CF51" s="10" t="str">
        <f t="shared" si="60"/>
        <v/>
      </c>
      <c r="CG51" s="10" t="str">
        <f t="shared" si="60"/>
        <v/>
      </c>
      <c r="CH51" s="10" t="str">
        <f t="shared" si="60"/>
        <v/>
      </c>
      <c r="CI51" s="10" t="str">
        <f t="shared" si="60"/>
        <v/>
      </c>
      <c r="CJ51" s="10" t="str">
        <f t="shared" si="60"/>
        <v/>
      </c>
      <c r="CK51" s="10" t="str">
        <f t="shared" si="60"/>
        <v/>
      </c>
      <c r="CL51" s="10" t="str">
        <f t="shared" si="60"/>
        <v/>
      </c>
      <c r="CM51" s="10" t="str">
        <f t="shared" si="60"/>
        <v/>
      </c>
      <c r="CN51" s="10" t="str">
        <f t="shared" si="60"/>
        <v/>
      </c>
      <c r="CO51" s="10" t="str">
        <f t="shared" si="60"/>
        <v/>
      </c>
      <c r="CP51" s="10" t="str">
        <f t="shared" si="60"/>
        <v/>
      </c>
      <c r="CQ51" s="10" t="str">
        <f t="shared" si="60"/>
        <v/>
      </c>
      <c r="CR51" s="10" t="str">
        <f t="shared" si="60"/>
        <v/>
      </c>
      <c r="CS51" s="10" t="str">
        <f t="shared" si="60"/>
        <v/>
      </c>
      <c r="CT51" s="10" t="str">
        <f t="shared" si="60"/>
        <v/>
      </c>
      <c r="CU51" s="10" t="str">
        <f t="shared" si="60"/>
        <v/>
      </c>
      <c r="CV51" s="10" t="str">
        <f t="shared" si="60"/>
        <v/>
      </c>
      <c r="CW51" s="10" t="str">
        <f t="shared" si="60"/>
        <v/>
      </c>
      <c r="CX51" s="10" t="str">
        <f t="shared" si="60"/>
        <v/>
      </c>
      <c r="CY51" s="10" t="str">
        <f t="shared" si="60"/>
        <v/>
      </c>
      <c r="CZ51" s="10" t="str">
        <f t="shared" si="60"/>
        <v/>
      </c>
      <c r="DA51" s="10" t="str">
        <f t="shared" si="60"/>
        <v/>
      </c>
      <c r="DB51" s="10" t="str">
        <f t="shared" si="60"/>
        <v/>
      </c>
      <c r="DC51" s="10" t="str">
        <f t="shared" si="60"/>
        <v/>
      </c>
      <c r="DD51" s="10" t="str">
        <f t="shared" si="60"/>
        <v/>
      </c>
      <c r="DE51" s="10" t="str">
        <f t="shared" si="60"/>
        <v/>
      </c>
      <c r="DF51" s="10" t="str">
        <f t="shared" si="60"/>
        <v/>
      </c>
      <c r="DG51" s="10" t="str">
        <f t="shared" si="60"/>
        <v/>
      </c>
      <c r="DH51" s="10" t="str">
        <f t="shared" si="60"/>
        <v/>
      </c>
      <c r="DI51" s="10" t="str">
        <f t="shared" si="60"/>
        <v/>
      </c>
      <c r="DJ51" s="10" t="str">
        <f t="shared" si="60"/>
        <v/>
      </c>
    </row>
    <row r="52" spans="1:114" ht="13.5" customHeight="1">
      <c r="A52" s="1">
        <f>Gerenciamento!D52</f>
        <v>0</v>
      </c>
      <c r="B52" s="1" t="e">
        <f t="shared" si="2"/>
        <v>#VALUE!</v>
      </c>
      <c r="C52" s="2" t="e">
        <f t="shared" si="6"/>
        <v>#VALUE!</v>
      </c>
      <c r="D52" s="2" t="e">
        <f t="shared" si="7"/>
        <v>#VALUE!</v>
      </c>
      <c r="E52" s="2" t="e">
        <f t="shared" si="8"/>
        <v>#VALUE!</v>
      </c>
      <c r="F52" s="2" t="e">
        <f t="shared" si="9"/>
        <v>#VALUE!</v>
      </c>
      <c r="G52" s="5" t="e">
        <f t="shared" si="15"/>
        <v>#VALUE!</v>
      </c>
      <c r="H52" s="1" t="e">
        <f t="shared" si="10"/>
        <v>#VALUE!</v>
      </c>
      <c r="I52" s="1" t="e">
        <f t="shared" si="12"/>
        <v>#VALUE!</v>
      </c>
      <c r="J52" s="6" t="e">
        <f t="shared" si="3"/>
        <v>#VALUE!</v>
      </c>
      <c r="M52" s="9" t="b">
        <f t="shared" si="4"/>
        <v>0</v>
      </c>
      <c r="N52" s="10" t="e">
        <f t="shared" ref="N52:DJ52" si="61">IF(N$1&gt;$L$2,"",IF(N$1=$L$2,1,IF($L$2-N$1=$L$1-$M52,$L$3^($L$1-$M52),($L$3*N53*O53/(N53+($L$3-1)*O53)))))</f>
        <v>#DIV/0!</v>
      </c>
      <c r="O52" s="10" t="e">
        <f t="shared" si="61"/>
        <v>#DIV/0!</v>
      </c>
      <c r="P52" s="10">
        <f t="shared" si="61"/>
        <v>1</v>
      </c>
      <c r="Q52" s="10" t="str">
        <f t="shared" si="61"/>
        <v/>
      </c>
      <c r="R52" s="10" t="str">
        <f t="shared" si="61"/>
        <v/>
      </c>
      <c r="S52" s="10" t="str">
        <f t="shared" si="61"/>
        <v/>
      </c>
      <c r="T52" s="10" t="str">
        <f t="shared" si="61"/>
        <v/>
      </c>
      <c r="U52" s="10" t="str">
        <f t="shared" si="61"/>
        <v/>
      </c>
      <c r="V52" s="10" t="str">
        <f t="shared" si="61"/>
        <v/>
      </c>
      <c r="W52" s="10" t="str">
        <f t="shared" si="61"/>
        <v/>
      </c>
      <c r="X52" s="10" t="str">
        <f t="shared" si="61"/>
        <v/>
      </c>
      <c r="Y52" s="10" t="str">
        <f t="shared" si="61"/>
        <v/>
      </c>
      <c r="Z52" s="10" t="str">
        <f t="shared" si="61"/>
        <v/>
      </c>
      <c r="AA52" s="10" t="str">
        <f t="shared" si="61"/>
        <v/>
      </c>
      <c r="AB52" s="10" t="str">
        <f t="shared" si="61"/>
        <v/>
      </c>
      <c r="AC52" s="10" t="str">
        <f t="shared" si="61"/>
        <v/>
      </c>
      <c r="AD52" s="10" t="str">
        <f t="shared" si="61"/>
        <v/>
      </c>
      <c r="AE52" s="10" t="str">
        <f t="shared" si="61"/>
        <v/>
      </c>
      <c r="AF52" s="10" t="str">
        <f t="shared" si="61"/>
        <v/>
      </c>
      <c r="AG52" s="10" t="str">
        <f t="shared" si="61"/>
        <v/>
      </c>
      <c r="AH52" s="10" t="str">
        <f t="shared" si="61"/>
        <v/>
      </c>
      <c r="AI52" s="10" t="str">
        <f t="shared" si="61"/>
        <v/>
      </c>
      <c r="AJ52" s="10" t="str">
        <f t="shared" si="61"/>
        <v/>
      </c>
      <c r="AK52" s="10" t="str">
        <f t="shared" si="61"/>
        <v/>
      </c>
      <c r="AL52" s="10" t="str">
        <f t="shared" si="61"/>
        <v/>
      </c>
      <c r="AM52" s="10" t="str">
        <f t="shared" si="61"/>
        <v/>
      </c>
      <c r="AN52" s="10" t="str">
        <f t="shared" si="61"/>
        <v/>
      </c>
      <c r="AO52" s="10" t="str">
        <f t="shared" si="61"/>
        <v/>
      </c>
      <c r="AP52" s="10" t="str">
        <f t="shared" si="61"/>
        <v/>
      </c>
      <c r="AQ52" s="10" t="str">
        <f t="shared" si="61"/>
        <v/>
      </c>
      <c r="AR52" s="10" t="str">
        <f t="shared" si="61"/>
        <v/>
      </c>
      <c r="AS52" s="10" t="str">
        <f t="shared" si="61"/>
        <v/>
      </c>
      <c r="AT52" s="10" t="str">
        <f t="shared" si="61"/>
        <v/>
      </c>
      <c r="AU52" s="10" t="str">
        <f t="shared" si="61"/>
        <v/>
      </c>
      <c r="AV52" s="10" t="str">
        <f t="shared" si="61"/>
        <v/>
      </c>
      <c r="AW52" s="10" t="str">
        <f t="shared" si="61"/>
        <v/>
      </c>
      <c r="AX52" s="10" t="str">
        <f t="shared" si="61"/>
        <v/>
      </c>
      <c r="AY52" s="10" t="str">
        <f t="shared" si="61"/>
        <v/>
      </c>
      <c r="AZ52" s="10" t="str">
        <f t="shared" si="61"/>
        <v/>
      </c>
      <c r="BA52" s="10" t="str">
        <f t="shared" si="61"/>
        <v/>
      </c>
      <c r="BB52" s="10" t="str">
        <f t="shared" si="61"/>
        <v/>
      </c>
      <c r="BC52" s="10" t="str">
        <f t="shared" si="61"/>
        <v/>
      </c>
      <c r="BD52" s="10" t="str">
        <f t="shared" si="61"/>
        <v/>
      </c>
      <c r="BE52" s="10" t="str">
        <f t="shared" si="61"/>
        <v/>
      </c>
      <c r="BF52" s="10" t="str">
        <f t="shared" si="61"/>
        <v/>
      </c>
      <c r="BG52" s="10" t="str">
        <f t="shared" si="61"/>
        <v/>
      </c>
      <c r="BH52" s="10" t="str">
        <f t="shared" si="61"/>
        <v/>
      </c>
      <c r="BI52" s="10" t="str">
        <f t="shared" si="61"/>
        <v/>
      </c>
      <c r="BJ52" s="10" t="str">
        <f t="shared" si="61"/>
        <v/>
      </c>
      <c r="BK52" s="10" t="str">
        <f t="shared" si="61"/>
        <v/>
      </c>
      <c r="BL52" s="10" t="str">
        <f t="shared" si="61"/>
        <v/>
      </c>
      <c r="BM52" s="10" t="str">
        <f t="shared" si="61"/>
        <v/>
      </c>
      <c r="BN52" s="10" t="str">
        <f t="shared" si="61"/>
        <v/>
      </c>
      <c r="BO52" s="10" t="str">
        <f t="shared" si="61"/>
        <v/>
      </c>
      <c r="BP52" s="10" t="str">
        <f t="shared" si="61"/>
        <v/>
      </c>
      <c r="BQ52" s="10" t="str">
        <f t="shared" si="61"/>
        <v/>
      </c>
      <c r="BR52" s="10" t="str">
        <f t="shared" si="61"/>
        <v/>
      </c>
      <c r="BS52" s="10" t="str">
        <f t="shared" si="61"/>
        <v/>
      </c>
      <c r="BT52" s="10" t="str">
        <f t="shared" si="61"/>
        <v/>
      </c>
      <c r="BU52" s="10" t="str">
        <f t="shared" si="61"/>
        <v/>
      </c>
      <c r="BV52" s="10" t="str">
        <f t="shared" si="61"/>
        <v/>
      </c>
      <c r="BW52" s="10" t="str">
        <f t="shared" si="61"/>
        <v/>
      </c>
      <c r="BX52" s="10" t="str">
        <f t="shared" si="61"/>
        <v/>
      </c>
      <c r="BY52" s="10" t="str">
        <f t="shared" si="61"/>
        <v/>
      </c>
      <c r="BZ52" s="10" t="str">
        <f t="shared" si="61"/>
        <v/>
      </c>
      <c r="CA52" s="10" t="str">
        <f t="shared" si="61"/>
        <v/>
      </c>
      <c r="CB52" s="10" t="str">
        <f t="shared" si="61"/>
        <v/>
      </c>
      <c r="CC52" s="10" t="str">
        <f t="shared" si="61"/>
        <v/>
      </c>
      <c r="CD52" s="10" t="str">
        <f t="shared" si="61"/>
        <v/>
      </c>
      <c r="CE52" s="10" t="str">
        <f t="shared" si="61"/>
        <v/>
      </c>
      <c r="CF52" s="10" t="str">
        <f t="shared" si="61"/>
        <v/>
      </c>
      <c r="CG52" s="10" t="str">
        <f t="shared" si="61"/>
        <v/>
      </c>
      <c r="CH52" s="10" t="str">
        <f t="shared" si="61"/>
        <v/>
      </c>
      <c r="CI52" s="10" t="str">
        <f t="shared" si="61"/>
        <v/>
      </c>
      <c r="CJ52" s="10" t="str">
        <f t="shared" si="61"/>
        <v/>
      </c>
      <c r="CK52" s="10" t="str">
        <f t="shared" si="61"/>
        <v/>
      </c>
      <c r="CL52" s="10" t="str">
        <f t="shared" si="61"/>
        <v/>
      </c>
      <c r="CM52" s="10" t="str">
        <f t="shared" si="61"/>
        <v/>
      </c>
      <c r="CN52" s="10" t="str">
        <f t="shared" si="61"/>
        <v/>
      </c>
      <c r="CO52" s="10" t="str">
        <f t="shared" si="61"/>
        <v/>
      </c>
      <c r="CP52" s="10" t="str">
        <f t="shared" si="61"/>
        <v/>
      </c>
      <c r="CQ52" s="10" t="str">
        <f t="shared" si="61"/>
        <v/>
      </c>
      <c r="CR52" s="10" t="str">
        <f t="shared" si="61"/>
        <v/>
      </c>
      <c r="CS52" s="10" t="str">
        <f t="shared" si="61"/>
        <v/>
      </c>
      <c r="CT52" s="10" t="str">
        <f t="shared" si="61"/>
        <v/>
      </c>
      <c r="CU52" s="10" t="str">
        <f t="shared" si="61"/>
        <v/>
      </c>
      <c r="CV52" s="10" t="str">
        <f t="shared" si="61"/>
        <v/>
      </c>
      <c r="CW52" s="10" t="str">
        <f t="shared" si="61"/>
        <v/>
      </c>
      <c r="CX52" s="10" t="str">
        <f t="shared" si="61"/>
        <v/>
      </c>
      <c r="CY52" s="10" t="str">
        <f t="shared" si="61"/>
        <v/>
      </c>
      <c r="CZ52" s="10" t="str">
        <f t="shared" si="61"/>
        <v/>
      </c>
      <c r="DA52" s="10" t="str">
        <f t="shared" si="61"/>
        <v/>
      </c>
      <c r="DB52" s="10" t="str">
        <f t="shared" si="61"/>
        <v/>
      </c>
      <c r="DC52" s="10" t="str">
        <f t="shared" si="61"/>
        <v/>
      </c>
      <c r="DD52" s="10" t="str">
        <f t="shared" si="61"/>
        <v/>
      </c>
      <c r="DE52" s="10" t="str">
        <f t="shared" si="61"/>
        <v/>
      </c>
      <c r="DF52" s="10" t="str">
        <f t="shared" si="61"/>
        <v/>
      </c>
      <c r="DG52" s="10" t="str">
        <f t="shared" si="61"/>
        <v/>
      </c>
      <c r="DH52" s="10" t="str">
        <f t="shared" si="61"/>
        <v/>
      </c>
      <c r="DI52" s="10" t="str">
        <f t="shared" si="61"/>
        <v/>
      </c>
      <c r="DJ52" s="10" t="str">
        <f t="shared" si="61"/>
        <v/>
      </c>
    </row>
    <row r="53" spans="1:114" ht="13.5" customHeight="1">
      <c r="A53" s="1">
        <f>Gerenciamento!D53</f>
        <v>0</v>
      </c>
      <c r="B53" s="1" t="e">
        <f t="shared" si="2"/>
        <v>#VALUE!</v>
      </c>
      <c r="C53" s="2" t="e">
        <f t="shared" si="6"/>
        <v>#VALUE!</v>
      </c>
      <c r="D53" s="2" t="e">
        <f t="shared" si="7"/>
        <v>#VALUE!</v>
      </c>
      <c r="E53" s="2" t="e">
        <f t="shared" si="8"/>
        <v>#VALUE!</v>
      </c>
      <c r="F53" s="2" t="e">
        <f t="shared" si="9"/>
        <v>#VALUE!</v>
      </c>
      <c r="G53" s="5" t="e">
        <f t="shared" si="15"/>
        <v>#VALUE!</v>
      </c>
      <c r="H53" s="1" t="e">
        <f t="shared" si="10"/>
        <v>#VALUE!</v>
      </c>
      <c r="I53" s="1" t="e">
        <f t="shared" si="12"/>
        <v>#VALUE!</v>
      </c>
      <c r="J53" s="6" t="e">
        <f t="shared" si="3"/>
        <v>#VALUE!</v>
      </c>
      <c r="M53" s="9" t="b">
        <f t="shared" si="4"/>
        <v>0</v>
      </c>
      <c r="N53" s="10" t="e">
        <f t="shared" ref="N53:DJ53" si="62">IF(N$1&gt;$L$2,"",IF(N$1=$L$2,1,IF($L$2-N$1=$L$1-$M53,$L$3^($L$1-$M53),($L$3*N54*O54/(N54+($L$3-1)*O54)))))</f>
        <v>#DIV/0!</v>
      </c>
      <c r="O53" s="10" t="e">
        <f t="shared" si="62"/>
        <v>#DIV/0!</v>
      </c>
      <c r="P53" s="10">
        <f t="shared" si="62"/>
        <v>1</v>
      </c>
      <c r="Q53" s="10" t="str">
        <f t="shared" si="62"/>
        <v/>
      </c>
      <c r="R53" s="10" t="str">
        <f t="shared" si="62"/>
        <v/>
      </c>
      <c r="S53" s="10" t="str">
        <f t="shared" si="62"/>
        <v/>
      </c>
      <c r="T53" s="10" t="str">
        <f t="shared" si="62"/>
        <v/>
      </c>
      <c r="U53" s="10" t="str">
        <f t="shared" si="62"/>
        <v/>
      </c>
      <c r="V53" s="10" t="str">
        <f t="shared" si="62"/>
        <v/>
      </c>
      <c r="W53" s="10" t="str">
        <f t="shared" si="62"/>
        <v/>
      </c>
      <c r="X53" s="10" t="str">
        <f t="shared" si="62"/>
        <v/>
      </c>
      <c r="Y53" s="10" t="str">
        <f t="shared" si="62"/>
        <v/>
      </c>
      <c r="Z53" s="10" t="str">
        <f t="shared" si="62"/>
        <v/>
      </c>
      <c r="AA53" s="10" t="str">
        <f t="shared" si="62"/>
        <v/>
      </c>
      <c r="AB53" s="10" t="str">
        <f t="shared" si="62"/>
        <v/>
      </c>
      <c r="AC53" s="10" t="str">
        <f t="shared" si="62"/>
        <v/>
      </c>
      <c r="AD53" s="10" t="str">
        <f t="shared" si="62"/>
        <v/>
      </c>
      <c r="AE53" s="10" t="str">
        <f t="shared" si="62"/>
        <v/>
      </c>
      <c r="AF53" s="10" t="str">
        <f t="shared" si="62"/>
        <v/>
      </c>
      <c r="AG53" s="10" t="str">
        <f t="shared" si="62"/>
        <v/>
      </c>
      <c r="AH53" s="10" t="str">
        <f t="shared" si="62"/>
        <v/>
      </c>
      <c r="AI53" s="10" t="str">
        <f t="shared" si="62"/>
        <v/>
      </c>
      <c r="AJ53" s="10" t="str">
        <f t="shared" si="62"/>
        <v/>
      </c>
      <c r="AK53" s="10" t="str">
        <f t="shared" si="62"/>
        <v/>
      </c>
      <c r="AL53" s="10" t="str">
        <f t="shared" si="62"/>
        <v/>
      </c>
      <c r="AM53" s="10" t="str">
        <f t="shared" si="62"/>
        <v/>
      </c>
      <c r="AN53" s="10" t="str">
        <f t="shared" si="62"/>
        <v/>
      </c>
      <c r="AO53" s="10" t="str">
        <f t="shared" si="62"/>
        <v/>
      </c>
      <c r="AP53" s="10" t="str">
        <f t="shared" si="62"/>
        <v/>
      </c>
      <c r="AQ53" s="10" t="str">
        <f t="shared" si="62"/>
        <v/>
      </c>
      <c r="AR53" s="10" t="str">
        <f t="shared" si="62"/>
        <v/>
      </c>
      <c r="AS53" s="10" t="str">
        <f t="shared" si="62"/>
        <v/>
      </c>
      <c r="AT53" s="10" t="str">
        <f t="shared" si="62"/>
        <v/>
      </c>
      <c r="AU53" s="10" t="str">
        <f t="shared" si="62"/>
        <v/>
      </c>
      <c r="AV53" s="10" t="str">
        <f t="shared" si="62"/>
        <v/>
      </c>
      <c r="AW53" s="10" t="str">
        <f t="shared" si="62"/>
        <v/>
      </c>
      <c r="AX53" s="10" t="str">
        <f t="shared" si="62"/>
        <v/>
      </c>
      <c r="AY53" s="10" t="str">
        <f t="shared" si="62"/>
        <v/>
      </c>
      <c r="AZ53" s="10" t="str">
        <f t="shared" si="62"/>
        <v/>
      </c>
      <c r="BA53" s="10" t="str">
        <f t="shared" si="62"/>
        <v/>
      </c>
      <c r="BB53" s="10" t="str">
        <f t="shared" si="62"/>
        <v/>
      </c>
      <c r="BC53" s="10" t="str">
        <f t="shared" si="62"/>
        <v/>
      </c>
      <c r="BD53" s="10" t="str">
        <f t="shared" si="62"/>
        <v/>
      </c>
      <c r="BE53" s="10" t="str">
        <f t="shared" si="62"/>
        <v/>
      </c>
      <c r="BF53" s="10" t="str">
        <f t="shared" si="62"/>
        <v/>
      </c>
      <c r="BG53" s="10" t="str">
        <f t="shared" si="62"/>
        <v/>
      </c>
      <c r="BH53" s="10" t="str">
        <f t="shared" si="62"/>
        <v/>
      </c>
      <c r="BI53" s="10" t="str">
        <f t="shared" si="62"/>
        <v/>
      </c>
      <c r="BJ53" s="10" t="str">
        <f t="shared" si="62"/>
        <v/>
      </c>
      <c r="BK53" s="10" t="str">
        <f t="shared" si="62"/>
        <v/>
      </c>
      <c r="BL53" s="10" t="str">
        <f t="shared" si="62"/>
        <v/>
      </c>
      <c r="BM53" s="10" t="str">
        <f t="shared" si="62"/>
        <v/>
      </c>
      <c r="BN53" s="10" t="str">
        <f t="shared" si="62"/>
        <v/>
      </c>
      <c r="BO53" s="10" t="str">
        <f t="shared" si="62"/>
        <v/>
      </c>
      <c r="BP53" s="10" t="str">
        <f t="shared" si="62"/>
        <v/>
      </c>
      <c r="BQ53" s="10" t="str">
        <f t="shared" si="62"/>
        <v/>
      </c>
      <c r="BR53" s="10" t="str">
        <f t="shared" si="62"/>
        <v/>
      </c>
      <c r="BS53" s="10" t="str">
        <f t="shared" si="62"/>
        <v/>
      </c>
      <c r="BT53" s="10" t="str">
        <f t="shared" si="62"/>
        <v/>
      </c>
      <c r="BU53" s="10" t="str">
        <f t="shared" si="62"/>
        <v/>
      </c>
      <c r="BV53" s="10" t="str">
        <f t="shared" si="62"/>
        <v/>
      </c>
      <c r="BW53" s="10" t="str">
        <f t="shared" si="62"/>
        <v/>
      </c>
      <c r="BX53" s="10" t="str">
        <f t="shared" si="62"/>
        <v/>
      </c>
      <c r="BY53" s="10" t="str">
        <f t="shared" si="62"/>
        <v/>
      </c>
      <c r="BZ53" s="10" t="str">
        <f t="shared" si="62"/>
        <v/>
      </c>
      <c r="CA53" s="10" t="str">
        <f t="shared" si="62"/>
        <v/>
      </c>
      <c r="CB53" s="10" t="str">
        <f t="shared" si="62"/>
        <v/>
      </c>
      <c r="CC53" s="10" t="str">
        <f t="shared" si="62"/>
        <v/>
      </c>
      <c r="CD53" s="10" t="str">
        <f t="shared" si="62"/>
        <v/>
      </c>
      <c r="CE53" s="10" t="str">
        <f t="shared" si="62"/>
        <v/>
      </c>
      <c r="CF53" s="10" t="str">
        <f t="shared" si="62"/>
        <v/>
      </c>
      <c r="CG53" s="10" t="str">
        <f t="shared" si="62"/>
        <v/>
      </c>
      <c r="CH53" s="10" t="str">
        <f t="shared" si="62"/>
        <v/>
      </c>
      <c r="CI53" s="10" t="str">
        <f t="shared" si="62"/>
        <v/>
      </c>
      <c r="CJ53" s="10" t="str">
        <f t="shared" si="62"/>
        <v/>
      </c>
      <c r="CK53" s="10" t="str">
        <f t="shared" si="62"/>
        <v/>
      </c>
      <c r="CL53" s="10" t="str">
        <f t="shared" si="62"/>
        <v/>
      </c>
      <c r="CM53" s="10" t="str">
        <f t="shared" si="62"/>
        <v/>
      </c>
      <c r="CN53" s="10" t="str">
        <f t="shared" si="62"/>
        <v/>
      </c>
      <c r="CO53" s="10" t="str">
        <f t="shared" si="62"/>
        <v/>
      </c>
      <c r="CP53" s="10" t="str">
        <f t="shared" si="62"/>
        <v/>
      </c>
      <c r="CQ53" s="10" t="str">
        <f t="shared" si="62"/>
        <v/>
      </c>
      <c r="CR53" s="10" t="str">
        <f t="shared" si="62"/>
        <v/>
      </c>
      <c r="CS53" s="10" t="str">
        <f t="shared" si="62"/>
        <v/>
      </c>
      <c r="CT53" s="10" t="str">
        <f t="shared" si="62"/>
        <v/>
      </c>
      <c r="CU53" s="10" t="str">
        <f t="shared" si="62"/>
        <v/>
      </c>
      <c r="CV53" s="10" t="str">
        <f t="shared" si="62"/>
        <v/>
      </c>
      <c r="CW53" s="10" t="str">
        <f t="shared" si="62"/>
        <v/>
      </c>
      <c r="CX53" s="10" t="str">
        <f t="shared" si="62"/>
        <v/>
      </c>
      <c r="CY53" s="10" t="str">
        <f t="shared" si="62"/>
        <v/>
      </c>
      <c r="CZ53" s="10" t="str">
        <f t="shared" si="62"/>
        <v/>
      </c>
      <c r="DA53" s="10" t="str">
        <f t="shared" si="62"/>
        <v/>
      </c>
      <c r="DB53" s="10" t="str">
        <f t="shared" si="62"/>
        <v/>
      </c>
      <c r="DC53" s="10" t="str">
        <f t="shared" si="62"/>
        <v/>
      </c>
      <c r="DD53" s="10" t="str">
        <f t="shared" si="62"/>
        <v/>
      </c>
      <c r="DE53" s="10" t="str">
        <f t="shared" si="62"/>
        <v/>
      </c>
      <c r="DF53" s="10" t="str">
        <f t="shared" si="62"/>
        <v/>
      </c>
      <c r="DG53" s="10" t="str">
        <f t="shared" si="62"/>
        <v/>
      </c>
      <c r="DH53" s="10" t="str">
        <f t="shared" si="62"/>
        <v/>
      </c>
      <c r="DI53" s="10" t="str">
        <f t="shared" si="62"/>
        <v/>
      </c>
      <c r="DJ53" s="10" t="str">
        <f t="shared" si="62"/>
        <v/>
      </c>
    </row>
    <row r="54" spans="1:114" ht="13.5" customHeight="1">
      <c r="A54" s="1">
        <f>Gerenciamento!D54</f>
        <v>0</v>
      </c>
      <c r="B54" s="1" t="e">
        <f t="shared" si="2"/>
        <v>#VALUE!</v>
      </c>
      <c r="C54" s="2" t="e">
        <f t="shared" si="6"/>
        <v>#VALUE!</v>
      </c>
      <c r="D54" s="2" t="e">
        <f t="shared" si="7"/>
        <v>#VALUE!</v>
      </c>
      <c r="E54" s="2" t="e">
        <f t="shared" si="8"/>
        <v>#VALUE!</v>
      </c>
      <c r="F54" s="2" t="e">
        <f t="shared" si="9"/>
        <v>#VALUE!</v>
      </c>
      <c r="G54" s="5" t="e">
        <f t="shared" si="15"/>
        <v>#VALUE!</v>
      </c>
      <c r="H54" s="1" t="e">
        <f t="shared" si="10"/>
        <v>#VALUE!</v>
      </c>
      <c r="I54" s="1" t="e">
        <f t="shared" si="12"/>
        <v>#VALUE!</v>
      </c>
      <c r="J54" s="6" t="e">
        <f t="shared" si="3"/>
        <v>#VALUE!</v>
      </c>
      <c r="M54" s="9" t="b">
        <f t="shared" si="4"/>
        <v>0</v>
      </c>
      <c r="N54" s="10" t="e">
        <f t="shared" ref="N54:DJ54" si="63">IF(N$1&gt;$L$2,"",IF(N$1=$L$2,1,IF($L$2-N$1=$L$1-$M54,$L$3^($L$1-$M54),($L$3*N55*O55/(N55+($L$3-1)*O55)))))</f>
        <v>#DIV/0!</v>
      </c>
      <c r="O54" s="10" t="e">
        <f t="shared" si="63"/>
        <v>#DIV/0!</v>
      </c>
      <c r="P54" s="10">
        <f t="shared" si="63"/>
        <v>1</v>
      </c>
      <c r="Q54" s="10" t="str">
        <f t="shared" si="63"/>
        <v/>
      </c>
      <c r="R54" s="10" t="str">
        <f t="shared" si="63"/>
        <v/>
      </c>
      <c r="S54" s="10" t="str">
        <f t="shared" si="63"/>
        <v/>
      </c>
      <c r="T54" s="10" t="str">
        <f t="shared" si="63"/>
        <v/>
      </c>
      <c r="U54" s="10" t="str">
        <f t="shared" si="63"/>
        <v/>
      </c>
      <c r="V54" s="10" t="str">
        <f t="shared" si="63"/>
        <v/>
      </c>
      <c r="W54" s="10" t="str">
        <f t="shared" si="63"/>
        <v/>
      </c>
      <c r="X54" s="10" t="str">
        <f t="shared" si="63"/>
        <v/>
      </c>
      <c r="Y54" s="10" t="str">
        <f t="shared" si="63"/>
        <v/>
      </c>
      <c r="Z54" s="10" t="str">
        <f t="shared" si="63"/>
        <v/>
      </c>
      <c r="AA54" s="10" t="str">
        <f t="shared" si="63"/>
        <v/>
      </c>
      <c r="AB54" s="10" t="str">
        <f t="shared" si="63"/>
        <v/>
      </c>
      <c r="AC54" s="10" t="str">
        <f t="shared" si="63"/>
        <v/>
      </c>
      <c r="AD54" s="10" t="str">
        <f t="shared" si="63"/>
        <v/>
      </c>
      <c r="AE54" s="10" t="str">
        <f t="shared" si="63"/>
        <v/>
      </c>
      <c r="AF54" s="10" t="str">
        <f t="shared" si="63"/>
        <v/>
      </c>
      <c r="AG54" s="10" t="str">
        <f t="shared" si="63"/>
        <v/>
      </c>
      <c r="AH54" s="10" t="str">
        <f t="shared" si="63"/>
        <v/>
      </c>
      <c r="AI54" s="10" t="str">
        <f t="shared" si="63"/>
        <v/>
      </c>
      <c r="AJ54" s="10" t="str">
        <f t="shared" si="63"/>
        <v/>
      </c>
      <c r="AK54" s="10" t="str">
        <f t="shared" si="63"/>
        <v/>
      </c>
      <c r="AL54" s="10" t="str">
        <f t="shared" si="63"/>
        <v/>
      </c>
      <c r="AM54" s="10" t="str">
        <f t="shared" si="63"/>
        <v/>
      </c>
      <c r="AN54" s="10" t="str">
        <f t="shared" si="63"/>
        <v/>
      </c>
      <c r="AO54" s="10" t="str">
        <f t="shared" si="63"/>
        <v/>
      </c>
      <c r="AP54" s="10" t="str">
        <f t="shared" si="63"/>
        <v/>
      </c>
      <c r="AQ54" s="10" t="str">
        <f t="shared" si="63"/>
        <v/>
      </c>
      <c r="AR54" s="10" t="str">
        <f t="shared" si="63"/>
        <v/>
      </c>
      <c r="AS54" s="10" t="str">
        <f t="shared" si="63"/>
        <v/>
      </c>
      <c r="AT54" s="10" t="str">
        <f t="shared" si="63"/>
        <v/>
      </c>
      <c r="AU54" s="10" t="str">
        <f t="shared" si="63"/>
        <v/>
      </c>
      <c r="AV54" s="10" t="str">
        <f t="shared" si="63"/>
        <v/>
      </c>
      <c r="AW54" s="10" t="str">
        <f t="shared" si="63"/>
        <v/>
      </c>
      <c r="AX54" s="10" t="str">
        <f t="shared" si="63"/>
        <v/>
      </c>
      <c r="AY54" s="10" t="str">
        <f t="shared" si="63"/>
        <v/>
      </c>
      <c r="AZ54" s="10" t="str">
        <f t="shared" si="63"/>
        <v/>
      </c>
      <c r="BA54" s="10" t="str">
        <f t="shared" si="63"/>
        <v/>
      </c>
      <c r="BB54" s="10" t="str">
        <f t="shared" si="63"/>
        <v/>
      </c>
      <c r="BC54" s="10" t="str">
        <f t="shared" si="63"/>
        <v/>
      </c>
      <c r="BD54" s="10" t="str">
        <f t="shared" si="63"/>
        <v/>
      </c>
      <c r="BE54" s="10" t="str">
        <f t="shared" si="63"/>
        <v/>
      </c>
      <c r="BF54" s="10" t="str">
        <f t="shared" si="63"/>
        <v/>
      </c>
      <c r="BG54" s="10" t="str">
        <f t="shared" si="63"/>
        <v/>
      </c>
      <c r="BH54" s="10" t="str">
        <f t="shared" si="63"/>
        <v/>
      </c>
      <c r="BI54" s="10" t="str">
        <f t="shared" si="63"/>
        <v/>
      </c>
      <c r="BJ54" s="10" t="str">
        <f t="shared" si="63"/>
        <v/>
      </c>
      <c r="BK54" s="10" t="str">
        <f t="shared" si="63"/>
        <v/>
      </c>
      <c r="BL54" s="10" t="str">
        <f t="shared" si="63"/>
        <v/>
      </c>
      <c r="BM54" s="10" t="str">
        <f t="shared" si="63"/>
        <v/>
      </c>
      <c r="BN54" s="10" t="str">
        <f t="shared" si="63"/>
        <v/>
      </c>
      <c r="BO54" s="10" t="str">
        <f t="shared" si="63"/>
        <v/>
      </c>
      <c r="BP54" s="10" t="str">
        <f t="shared" si="63"/>
        <v/>
      </c>
      <c r="BQ54" s="10" t="str">
        <f t="shared" si="63"/>
        <v/>
      </c>
      <c r="BR54" s="10" t="str">
        <f t="shared" si="63"/>
        <v/>
      </c>
      <c r="BS54" s="10" t="str">
        <f t="shared" si="63"/>
        <v/>
      </c>
      <c r="BT54" s="10" t="str">
        <f t="shared" si="63"/>
        <v/>
      </c>
      <c r="BU54" s="10" t="str">
        <f t="shared" si="63"/>
        <v/>
      </c>
      <c r="BV54" s="10" t="str">
        <f t="shared" si="63"/>
        <v/>
      </c>
      <c r="BW54" s="10" t="str">
        <f t="shared" si="63"/>
        <v/>
      </c>
      <c r="BX54" s="10" t="str">
        <f t="shared" si="63"/>
        <v/>
      </c>
      <c r="BY54" s="10" t="str">
        <f t="shared" si="63"/>
        <v/>
      </c>
      <c r="BZ54" s="10" t="str">
        <f t="shared" si="63"/>
        <v/>
      </c>
      <c r="CA54" s="10" t="str">
        <f t="shared" si="63"/>
        <v/>
      </c>
      <c r="CB54" s="10" t="str">
        <f t="shared" si="63"/>
        <v/>
      </c>
      <c r="CC54" s="10" t="str">
        <f t="shared" si="63"/>
        <v/>
      </c>
      <c r="CD54" s="10" t="str">
        <f t="shared" si="63"/>
        <v/>
      </c>
      <c r="CE54" s="10" t="str">
        <f t="shared" si="63"/>
        <v/>
      </c>
      <c r="CF54" s="10" t="str">
        <f t="shared" si="63"/>
        <v/>
      </c>
      <c r="CG54" s="10" t="str">
        <f t="shared" si="63"/>
        <v/>
      </c>
      <c r="CH54" s="10" t="str">
        <f t="shared" si="63"/>
        <v/>
      </c>
      <c r="CI54" s="10" t="str">
        <f t="shared" si="63"/>
        <v/>
      </c>
      <c r="CJ54" s="10" t="str">
        <f t="shared" si="63"/>
        <v/>
      </c>
      <c r="CK54" s="10" t="str">
        <f t="shared" si="63"/>
        <v/>
      </c>
      <c r="CL54" s="10" t="str">
        <f t="shared" si="63"/>
        <v/>
      </c>
      <c r="CM54" s="10" t="str">
        <f t="shared" si="63"/>
        <v/>
      </c>
      <c r="CN54" s="10" t="str">
        <f t="shared" si="63"/>
        <v/>
      </c>
      <c r="CO54" s="10" t="str">
        <f t="shared" si="63"/>
        <v/>
      </c>
      <c r="CP54" s="10" t="str">
        <f t="shared" si="63"/>
        <v/>
      </c>
      <c r="CQ54" s="10" t="str">
        <f t="shared" si="63"/>
        <v/>
      </c>
      <c r="CR54" s="10" t="str">
        <f t="shared" si="63"/>
        <v/>
      </c>
      <c r="CS54" s="10" t="str">
        <f t="shared" si="63"/>
        <v/>
      </c>
      <c r="CT54" s="10" t="str">
        <f t="shared" si="63"/>
        <v/>
      </c>
      <c r="CU54" s="10" t="str">
        <f t="shared" si="63"/>
        <v/>
      </c>
      <c r="CV54" s="10" t="str">
        <f t="shared" si="63"/>
        <v/>
      </c>
      <c r="CW54" s="10" t="str">
        <f t="shared" si="63"/>
        <v/>
      </c>
      <c r="CX54" s="10" t="str">
        <f t="shared" si="63"/>
        <v/>
      </c>
      <c r="CY54" s="10" t="str">
        <f t="shared" si="63"/>
        <v/>
      </c>
      <c r="CZ54" s="10" t="str">
        <f t="shared" si="63"/>
        <v/>
      </c>
      <c r="DA54" s="10" t="str">
        <f t="shared" si="63"/>
        <v/>
      </c>
      <c r="DB54" s="10" t="str">
        <f t="shared" si="63"/>
        <v/>
      </c>
      <c r="DC54" s="10" t="str">
        <f t="shared" si="63"/>
        <v/>
      </c>
      <c r="DD54" s="10" t="str">
        <f t="shared" si="63"/>
        <v/>
      </c>
      <c r="DE54" s="10" t="str">
        <f t="shared" si="63"/>
        <v/>
      </c>
      <c r="DF54" s="10" t="str">
        <f t="shared" si="63"/>
        <v/>
      </c>
      <c r="DG54" s="10" t="str">
        <f t="shared" si="63"/>
        <v/>
      </c>
      <c r="DH54" s="10" t="str">
        <f t="shared" si="63"/>
        <v/>
      </c>
      <c r="DI54" s="10" t="str">
        <f t="shared" si="63"/>
        <v/>
      </c>
      <c r="DJ54" s="10" t="str">
        <f t="shared" si="63"/>
        <v/>
      </c>
    </row>
    <row r="55" spans="1:114" ht="13.5" customHeight="1">
      <c r="A55" s="1">
        <f>Gerenciamento!D55</f>
        <v>0</v>
      </c>
      <c r="B55" s="1" t="e">
        <f t="shared" si="2"/>
        <v>#VALUE!</v>
      </c>
      <c r="C55" s="2" t="e">
        <f t="shared" si="6"/>
        <v>#VALUE!</v>
      </c>
      <c r="D55" s="2" t="e">
        <f t="shared" si="7"/>
        <v>#VALUE!</v>
      </c>
      <c r="E55" s="2" t="e">
        <f t="shared" si="8"/>
        <v>#VALUE!</v>
      </c>
      <c r="F55" s="2" t="e">
        <f t="shared" si="9"/>
        <v>#VALUE!</v>
      </c>
      <c r="G55" s="5" t="e">
        <f t="shared" si="15"/>
        <v>#VALUE!</v>
      </c>
      <c r="H55" s="1" t="e">
        <f t="shared" si="10"/>
        <v>#VALUE!</v>
      </c>
      <c r="I55" s="1" t="e">
        <f t="shared" si="12"/>
        <v>#VALUE!</v>
      </c>
      <c r="J55" s="6" t="e">
        <f t="shared" si="3"/>
        <v>#VALUE!</v>
      </c>
      <c r="M55" s="9" t="b">
        <f t="shared" si="4"/>
        <v>0</v>
      </c>
      <c r="N55" s="10" t="e">
        <f t="shared" ref="N55:DJ55" si="64">IF(N$1&gt;$L$2,"",IF(N$1=$L$2,1,IF($L$2-N$1=$L$1-$M55,$L$3^($L$1-$M55),($L$3*N56*O56/(N56+($L$3-1)*O56)))))</f>
        <v>#DIV/0!</v>
      </c>
      <c r="O55" s="10" t="e">
        <f t="shared" si="64"/>
        <v>#DIV/0!</v>
      </c>
      <c r="P55" s="10">
        <f t="shared" si="64"/>
        <v>1</v>
      </c>
      <c r="Q55" s="10" t="str">
        <f t="shared" si="64"/>
        <v/>
      </c>
      <c r="R55" s="10" t="str">
        <f t="shared" si="64"/>
        <v/>
      </c>
      <c r="S55" s="10" t="str">
        <f t="shared" si="64"/>
        <v/>
      </c>
      <c r="T55" s="10" t="str">
        <f t="shared" si="64"/>
        <v/>
      </c>
      <c r="U55" s="10" t="str">
        <f t="shared" si="64"/>
        <v/>
      </c>
      <c r="V55" s="10" t="str">
        <f t="shared" si="64"/>
        <v/>
      </c>
      <c r="W55" s="10" t="str">
        <f t="shared" si="64"/>
        <v/>
      </c>
      <c r="X55" s="10" t="str">
        <f t="shared" si="64"/>
        <v/>
      </c>
      <c r="Y55" s="10" t="str">
        <f t="shared" si="64"/>
        <v/>
      </c>
      <c r="Z55" s="10" t="str">
        <f t="shared" si="64"/>
        <v/>
      </c>
      <c r="AA55" s="10" t="str">
        <f t="shared" si="64"/>
        <v/>
      </c>
      <c r="AB55" s="10" t="str">
        <f t="shared" si="64"/>
        <v/>
      </c>
      <c r="AC55" s="10" t="str">
        <f t="shared" si="64"/>
        <v/>
      </c>
      <c r="AD55" s="10" t="str">
        <f t="shared" si="64"/>
        <v/>
      </c>
      <c r="AE55" s="10" t="str">
        <f t="shared" si="64"/>
        <v/>
      </c>
      <c r="AF55" s="10" t="str">
        <f t="shared" si="64"/>
        <v/>
      </c>
      <c r="AG55" s="10" t="str">
        <f t="shared" si="64"/>
        <v/>
      </c>
      <c r="AH55" s="10" t="str">
        <f t="shared" si="64"/>
        <v/>
      </c>
      <c r="AI55" s="10" t="str">
        <f t="shared" si="64"/>
        <v/>
      </c>
      <c r="AJ55" s="10" t="str">
        <f t="shared" si="64"/>
        <v/>
      </c>
      <c r="AK55" s="10" t="str">
        <f t="shared" si="64"/>
        <v/>
      </c>
      <c r="AL55" s="10" t="str">
        <f t="shared" si="64"/>
        <v/>
      </c>
      <c r="AM55" s="10" t="str">
        <f t="shared" si="64"/>
        <v/>
      </c>
      <c r="AN55" s="10" t="str">
        <f t="shared" si="64"/>
        <v/>
      </c>
      <c r="AO55" s="10" t="str">
        <f t="shared" si="64"/>
        <v/>
      </c>
      <c r="AP55" s="10" t="str">
        <f t="shared" si="64"/>
        <v/>
      </c>
      <c r="AQ55" s="10" t="str">
        <f t="shared" si="64"/>
        <v/>
      </c>
      <c r="AR55" s="10" t="str">
        <f t="shared" si="64"/>
        <v/>
      </c>
      <c r="AS55" s="10" t="str">
        <f t="shared" si="64"/>
        <v/>
      </c>
      <c r="AT55" s="10" t="str">
        <f t="shared" si="64"/>
        <v/>
      </c>
      <c r="AU55" s="10" t="str">
        <f t="shared" si="64"/>
        <v/>
      </c>
      <c r="AV55" s="10" t="str">
        <f t="shared" si="64"/>
        <v/>
      </c>
      <c r="AW55" s="10" t="str">
        <f t="shared" si="64"/>
        <v/>
      </c>
      <c r="AX55" s="10" t="str">
        <f t="shared" si="64"/>
        <v/>
      </c>
      <c r="AY55" s="10" t="str">
        <f t="shared" si="64"/>
        <v/>
      </c>
      <c r="AZ55" s="10" t="str">
        <f t="shared" si="64"/>
        <v/>
      </c>
      <c r="BA55" s="10" t="str">
        <f t="shared" si="64"/>
        <v/>
      </c>
      <c r="BB55" s="10" t="str">
        <f t="shared" si="64"/>
        <v/>
      </c>
      <c r="BC55" s="10" t="str">
        <f t="shared" si="64"/>
        <v/>
      </c>
      <c r="BD55" s="10" t="str">
        <f t="shared" si="64"/>
        <v/>
      </c>
      <c r="BE55" s="10" t="str">
        <f t="shared" si="64"/>
        <v/>
      </c>
      <c r="BF55" s="10" t="str">
        <f t="shared" si="64"/>
        <v/>
      </c>
      <c r="BG55" s="10" t="str">
        <f t="shared" si="64"/>
        <v/>
      </c>
      <c r="BH55" s="10" t="str">
        <f t="shared" si="64"/>
        <v/>
      </c>
      <c r="BI55" s="10" t="str">
        <f t="shared" si="64"/>
        <v/>
      </c>
      <c r="BJ55" s="10" t="str">
        <f t="shared" si="64"/>
        <v/>
      </c>
      <c r="BK55" s="10" t="str">
        <f t="shared" si="64"/>
        <v/>
      </c>
      <c r="BL55" s="10" t="str">
        <f t="shared" si="64"/>
        <v/>
      </c>
      <c r="BM55" s="10" t="str">
        <f t="shared" si="64"/>
        <v/>
      </c>
      <c r="BN55" s="10" t="str">
        <f t="shared" si="64"/>
        <v/>
      </c>
      <c r="BO55" s="10" t="str">
        <f t="shared" si="64"/>
        <v/>
      </c>
      <c r="BP55" s="10" t="str">
        <f t="shared" si="64"/>
        <v/>
      </c>
      <c r="BQ55" s="10" t="str">
        <f t="shared" si="64"/>
        <v/>
      </c>
      <c r="BR55" s="10" t="str">
        <f t="shared" si="64"/>
        <v/>
      </c>
      <c r="BS55" s="10" t="str">
        <f t="shared" si="64"/>
        <v/>
      </c>
      <c r="BT55" s="10" t="str">
        <f t="shared" si="64"/>
        <v/>
      </c>
      <c r="BU55" s="10" t="str">
        <f t="shared" si="64"/>
        <v/>
      </c>
      <c r="BV55" s="10" t="str">
        <f t="shared" si="64"/>
        <v/>
      </c>
      <c r="BW55" s="10" t="str">
        <f t="shared" si="64"/>
        <v/>
      </c>
      <c r="BX55" s="10" t="str">
        <f t="shared" si="64"/>
        <v/>
      </c>
      <c r="BY55" s="10" t="str">
        <f t="shared" si="64"/>
        <v/>
      </c>
      <c r="BZ55" s="10" t="str">
        <f t="shared" si="64"/>
        <v/>
      </c>
      <c r="CA55" s="10" t="str">
        <f t="shared" si="64"/>
        <v/>
      </c>
      <c r="CB55" s="10" t="str">
        <f t="shared" si="64"/>
        <v/>
      </c>
      <c r="CC55" s="10" t="str">
        <f t="shared" si="64"/>
        <v/>
      </c>
      <c r="CD55" s="10" t="str">
        <f t="shared" si="64"/>
        <v/>
      </c>
      <c r="CE55" s="10" t="str">
        <f t="shared" si="64"/>
        <v/>
      </c>
      <c r="CF55" s="10" t="str">
        <f t="shared" si="64"/>
        <v/>
      </c>
      <c r="CG55" s="10" t="str">
        <f t="shared" si="64"/>
        <v/>
      </c>
      <c r="CH55" s="10" t="str">
        <f t="shared" si="64"/>
        <v/>
      </c>
      <c r="CI55" s="10" t="str">
        <f t="shared" si="64"/>
        <v/>
      </c>
      <c r="CJ55" s="10" t="str">
        <f t="shared" si="64"/>
        <v/>
      </c>
      <c r="CK55" s="10" t="str">
        <f t="shared" si="64"/>
        <v/>
      </c>
      <c r="CL55" s="10" t="str">
        <f t="shared" si="64"/>
        <v/>
      </c>
      <c r="CM55" s="10" t="str">
        <f t="shared" si="64"/>
        <v/>
      </c>
      <c r="CN55" s="10" t="str">
        <f t="shared" si="64"/>
        <v/>
      </c>
      <c r="CO55" s="10" t="str">
        <f t="shared" si="64"/>
        <v/>
      </c>
      <c r="CP55" s="10" t="str">
        <f t="shared" si="64"/>
        <v/>
      </c>
      <c r="CQ55" s="10" t="str">
        <f t="shared" si="64"/>
        <v/>
      </c>
      <c r="CR55" s="10" t="str">
        <f t="shared" si="64"/>
        <v/>
      </c>
      <c r="CS55" s="10" t="str">
        <f t="shared" si="64"/>
        <v/>
      </c>
      <c r="CT55" s="10" t="str">
        <f t="shared" si="64"/>
        <v/>
      </c>
      <c r="CU55" s="10" t="str">
        <f t="shared" si="64"/>
        <v/>
      </c>
      <c r="CV55" s="10" t="str">
        <f t="shared" si="64"/>
        <v/>
      </c>
      <c r="CW55" s="10" t="str">
        <f t="shared" si="64"/>
        <v/>
      </c>
      <c r="CX55" s="10" t="str">
        <f t="shared" si="64"/>
        <v/>
      </c>
      <c r="CY55" s="10" t="str">
        <f t="shared" si="64"/>
        <v/>
      </c>
      <c r="CZ55" s="10" t="str">
        <f t="shared" si="64"/>
        <v/>
      </c>
      <c r="DA55" s="10" t="str">
        <f t="shared" si="64"/>
        <v/>
      </c>
      <c r="DB55" s="10" t="str">
        <f t="shared" si="64"/>
        <v/>
      </c>
      <c r="DC55" s="10" t="str">
        <f t="shared" si="64"/>
        <v/>
      </c>
      <c r="DD55" s="10" t="str">
        <f t="shared" si="64"/>
        <v/>
      </c>
      <c r="DE55" s="10" t="str">
        <f t="shared" si="64"/>
        <v/>
      </c>
      <c r="DF55" s="10" t="str">
        <f t="shared" si="64"/>
        <v/>
      </c>
      <c r="DG55" s="10" t="str">
        <f t="shared" si="64"/>
        <v/>
      </c>
      <c r="DH55" s="10" t="str">
        <f t="shared" si="64"/>
        <v/>
      </c>
      <c r="DI55" s="10" t="str">
        <f t="shared" si="64"/>
        <v/>
      </c>
      <c r="DJ55" s="10" t="str">
        <f t="shared" si="64"/>
        <v/>
      </c>
    </row>
    <row r="56" spans="1:114" ht="13.5" customHeight="1">
      <c r="A56" s="1">
        <f>Gerenciamento!D56</f>
        <v>0</v>
      </c>
      <c r="B56" s="1" t="e">
        <f t="shared" si="2"/>
        <v>#VALUE!</v>
      </c>
      <c r="C56" s="2" t="e">
        <f t="shared" si="6"/>
        <v>#VALUE!</v>
      </c>
      <c r="D56" s="2" t="e">
        <f t="shared" si="7"/>
        <v>#VALUE!</v>
      </c>
      <c r="E56" s="2" t="e">
        <f t="shared" si="8"/>
        <v>#VALUE!</v>
      </c>
      <c r="F56" s="2" t="e">
        <f t="shared" si="9"/>
        <v>#VALUE!</v>
      </c>
      <c r="G56" s="5" t="e">
        <f t="shared" si="15"/>
        <v>#VALUE!</v>
      </c>
      <c r="H56" s="1" t="e">
        <f t="shared" si="10"/>
        <v>#VALUE!</v>
      </c>
      <c r="I56" s="1" t="e">
        <f t="shared" si="12"/>
        <v>#VALUE!</v>
      </c>
      <c r="J56" s="6" t="e">
        <f t="shared" si="3"/>
        <v>#VALUE!</v>
      </c>
      <c r="M56" s="9" t="b">
        <f t="shared" si="4"/>
        <v>0</v>
      </c>
      <c r="N56" s="10" t="e">
        <f t="shared" ref="N56:DJ56" si="65">IF(N$1&gt;$L$2,"",IF(N$1=$L$2,1,IF($L$2-N$1=$L$1-$M56,$L$3^($L$1-$M56),($L$3*N57*O57/(N57+($L$3-1)*O57)))))</f>
        <v>#DIV/0!</v>
      </c>
      <c r="O56" s="10" t="e">
        <f t="shared" si="65"/>
        <v>#DIV/0!</v>
      </c>
      <c r="P56" s="10">
        <f t="shared" si="65"/>
        <v>1</v>
      </c>
      <c r="Q56" s="10" t="str">
        <f t="shared" si="65"/>
        <v/>
      </c>
      <c r="R56" s="10" t="str">
        <f t="shared" si="65"/>
        <v/>
      </c>
      <c r="S56" s="10" t="str">
        <f t="shared" si="65"/>
        <v/>
      </c>
      <c r="T56" s="10" t="str">
        <f t="shared" si="65"/>
        <v/>
      </c>
      <c r="U56" s="10" t="str">
        <f t="shared" si="65"/>
        <v/>
      </c>
      <c r="V56" s="10" t="str">
        <f t="shared" si="65"/>
        <v/>
      </c>
      <c r="W56" s="10" t="str">
        <f t="shared" si="65"/>
        <v/>
      </c>
      <c r="X56" s="10" t="str">
        <f t="shared" si="65"/>
        <v/>
      </c>
      <c r="Y56" s="10" t="str">
        <f t="shared" si="65"/>
        <v/>
      </c>
      <c r="Z56" s="10" t="str">
        <f t="shared" si="65"/>
        <v/>
      </c>
      <c r="AA56" s="10" t="str">
        <f t="shared" si="65"/>
        <v/>
      </c>
      <c r="AB56" s="10" t="str">
        <f t="shared" si="65"/>
        <v/>
      </c>
      <c r="AC56" s="10" t="str">
        <f t="shared" si="65"/>
        <v/>
      </c>
      <c r="AD56" s="10" t="str">
        <f t="shared" si="65"/>
        <v/>
      </c>
      <c r="AE56" s="10" t="str">
        <f t="shared" si="65"/>
        <v/>
      </c>
      <c r="AF56" s="10" t="str">
        <f t="shared" si="65"/>
        <v/>
      </c>
      <c r="AG56" s="10" t="str">
        <f t="shared" si="65"/>
        <v/>
      </c>
      <c r="AH56" s="10" t="str">
        <f t="shared" si="65"/>
        <v/>
      </c>
      <c r="AI56" s="10" t="str">
        <f t="shared" si="65"/>
        <v/>
      </c>
      <c r="AJ56" s="10" t="str">
        <f t="shared" si="65"/>
        <v/>
      </c>
      <c r="AK56" s="10" t="str">
        <f t="shared" si="65"/>
        <v/>
      </c>
      <c r="AL56" s="10" t="str">
        <f t="shared" si="65"/>
        <v/>
      </c>
      <c r="AM56" s="10" t="str">
        <f t="shared" si="65"/>
        <v/>
      </c>
      <c r="AN56" s="10" t="str">
        <f t="shared" si="65"/>
        <v/>
      </c>
      <c r="AO56" s="10" t="str">
        <f t="shared" si="65"/>
        <v/>
      </c>
      <c r="AP56" s="10" t="str">
        <f t="shared" si="65"/>
        <v/>
      </c>
      <c r="AQ56" s="10" t="str">
        <f t="shared" si="65"/>
        <v/>
      </c>
      <c r="AR56" s="10" t="str">
        <f t="shared" si="65"/>
        <v/>
      </c>
      <c r="AS56" s="10" t="str">
        <f t="shared" si="65"/>
        <v/>
      </c>
      <c r="AT56" s="10" t="str">
        <f t="shared" si="65"/>
        <v/>
      </c>
      <c r="AU56" s="10" t="str">
        <f t="shared" si="65"/>
        <v/>
      </c>
      <c r="AV56" s="10" t="str">
        <f t="shared" si="65"/>
        <v/>
      </c>
      <c r="AW56" s="10" t="str">
        <f t="shared" si="65"/>
        <v/>
      </c>
      <c r="AX56" s="10" t="str">
        <f t="shared" si="65"/>
        <v/>
      </c>
      <c r="AY56" s="10" t="str">
        <f t="shared" si="65"/>
        <v/>
      </c>
      <c r="AZ56" s="10" t="str">
        <f t="shared" si="65"/>
        <v/>
      </c>
      <c r="BA56" s="10" t="str">
        <f t="shared" si="65"/>
        <v/>
      </c>
      <c r="BB56" s="10" t="str">
        <f t="shared" si="65"/>
        <v/>
      </c>
      <c r="BC56" s="10" t="str">
        <f t="shared" si="65"/>
        <v/>
      </c>
      <c r="BD56" s="10" t="str">
        <f t="shared" si="65"/>
        <v/>
      </c>
      <c r="BE56" s="10" t="str">
        <f t="shared" si="65"/>
        <v/>
      </c>
      <c r="BF56" s="10" t="str">
        <f t="shared" si="65"/>
        <v/>
      </c>
      <c r="BG56" s="10" t="str">
        <f t="shared" si="65"/>
        <v/>
      </c>
      <c r="BH56" s="10" t="str">
        <f t="shared" si="65"/>
        <v/>
      </c>
      <c r="BI56" s="10" t="str">
        <f t="shared" si="65"/>
        <v/>
      </c>
      <c r="BJ56" s="10" t="str">
        <f t="shared" si="65"/>
        <v/>
      </c>
      <c r="BK56" s="10" t="str">
        <f t="shared" si="65"/>
        <v/>
      </c>
      <c r="BL56" s="10" t="str">
        <f t="shared" si="65"/>
        <v/>
      </c>
      <c r="BM56" s="10" t="str">
        <f t="shared" si="65"/>
        <v/>
      </c>
      <c r="BN56" s="10" t="str">
        <f t="shared" si="65"/>
        <v/>
      </c>
      <c r="BO56" s="10" t="str">
        <f t="shared" si="65"/>
        <v/>
      </c>
      <c r="BP56" s="10" t="str">
        <f t="shared" si="65"/>
        <v/>
      </c>
      <c r="BQ56" s="10" t="str">
        <f t="shared" si="65"/>
        <v/>
      </c>
      <c r="BR56" s="10" t="str">
        <f t="shared" si="65"/>
        <v/>
      </c>
      <c r="BS56" s="10" t="str">
        <f t="shared" si="65"/>
        <v/>
      </c>
      <c r="BT56" s="10" t="str">
        <f t="shared" si="65"/>
        <v/>
      </c>
      <c r="BU56" s="10" t="str">
        <f t="shared" si="65"/>
        <v/>
      </c>
      <c r="BV56" s="10" t="str">
        <f t="shared" si="65"/>
        <v/>
      </c>
      <c r="BW56" s="10" t="str">
        <f t="shared" si="65"/>
        <v/>
      </c>
      <c r="BX56" s="10" t="str">
        <f t="shared" si="65"/>
        <v/>
      </c>
      <c r="BY56" s="10" t="str">
        <f t="shared" si="65"/>
        <v/>
      </c>
      <c r="BZ56" s="10" t="str">
        <f t="shared" si="65"/>
        <v/>
      </c>
      <c r="CA56" s="10" t="str">
        <f t="shared" si="65"/>
        <v/>
      </c>
      <c r="CB56" s="10" t="str">
        <f t="shared" si="65"/>
        <v/>
      </c>
      <c r="CC56" s="10" t="str">
        <f t="shared" si="65"/>
        <v/>
      </c>
      <c r="CD56" s="10" t="str">
        <f t="shared" si="65"/>
        <v/>
      </c>
      <c r="CE56" s="10" t="str">
        <f t="shared" si="65"/>
        <v/>
      </c>
      <c r="CF56" s="10" t="str">
        <f t="shared" si="65"/>
        <v/>
      </c>
      <c r="CG56" s="10" t="str">
        <f t="shared" si="65"/>
        <v/>
      </c>
      <c r="CH56" s="10" t="str">
        <f t="shared" si="65"/>
        <v/>
      </c>
      <c r="CI56" s="10" t="str">
        <f t="shared" si="65"/>
        <v/>
      </c>
      <c r="CJ56" s="10" t="str">
        <f t="shared" si="65"/>
        <v/>
      </c>
      <c r="CK56" s="10" t="str">
        <f t="shared" si="65"/>
        <v/>
      </c>
      <c r="CL56" s="10" t="str">
        <f t="shared" si="65"/>
        <v/>
      </c>
      <c r="CM56" s="10" t="str">
        <f t="shared" si="65"/>
        <v/>
      </c>
      <c r="CN56" s="10" t="str">
        <f t="shared" si="65"/>
        <v/>
      </c>
      <c r="CO56" s="10" t="str">
        <f t="shared" si="65"/>
        <v/>
      </c>
      <c r="CP56" s="10" t="str">
        <f t="shared" si="65"/>
        <v/>
      </c>
      <c r="CQ56" s="10" t="str">
        <f t="shared" si="65"/>
        <v/>
      </c>
      <c r="CR56" s="10" t="str">
        <f t="shared" si="65"/>
        <v/>
      </c>
      <c r="CS56" s="10" t="str">
        <f t="shared" si="65"/>
        <v/>
      </c>
      <c r="CT56" s="10" t="str">
        <f t="shared" si="65"/>
        <v/>
      </c>
      <c r="CU56" s="10" t="str">
        <f t="shared" si="65"/>
        <v/>
      </c>
      <c r="CV56" s="10" t="str">
        <f t="shared" si="65"/>
        <v/>
      </c>
      <c r="CW56" s="10" t="str">
        <f t="shared" si="65"/>
        <v/>
      </c>
      <c r="CX56" s="10" t="str">
        <f t="shared" si="65"/>
        <v/>
      </c>
      <c r="CY56" s="10" t="str">
        <f t="shared" si="65"/>
        <v/>
      </c>
      <c r="CZ56" s="10" t="str">
        <f t="shared" si="65"/>
        <v/>
      </c>
      <c r="DA56" s="10" t="str">
        <f t="shared" si="65"/>
        <v/>
      </c>
      <c r="DB56" s="10" t="str">
        <f t="shared" si="65"/>
        <v/>
      </c>
      <c r="DC56" s="10" t="str">
        <f t="shared" si="65"/>
        <v/>
      </c>
      <c r="DD56" s="10" t="str">
        <f t="shared" si="65"/>
        <v/>
      </c>
      <c r="DE56" s="10" t="str">
        <f t="shared" si="65"/>
        <v/>
      </c>
      <c r="DF56" s="10" t="str">
        <f t="shared" si="65"/>
        <v/>
      </c>
      <c r="DG56" s="10" t="str">
        <f t="shared" si="65"/>
        <v/>
      </c>
      <c r="DH56" s="10" t="str">
        <f t="shared" si="65"/>
        <v/>
      </c>
      <c r="DI56" s="10" t="str">
        <f t="shared" si="65"/>
        <v/>
      </c>
      <c r="DJ56" s="10" t="str">
        <f t="shared" si="65"/>
        <v/>
      </c>
    </row>
    <row r="57" spans="1:114" ht="13.5" customHeight="1">
      <c r="A57" s="1">
        <f>Gerenciamento!D57</f>
        <v>0</v>
      </c>
      <c r="B57" s="1" t="e">
        <f t="shared" si="2"/>
        <v>#VALUE!</v>
      </c>
      <c r="C57" s="2" t="e">
        <f t="shared" si="6"/>
        <v>#VALUE!</v>
      </c>
      <c r="D57" s="2" t="e">
        <f t="shared" si="7"/>
        <v>#VALUE!</v>
      </c>
      <c r="E57" s="2" t="e">
        <f t="shared" si="8"/>
        <v>#VALUE!</v>
      </c>
      <c r="F57" s="2" t="e">
        <f t="shared" si="9"/>
        <v>#VALUE!</v>
      </c>
      <c r="G57" s="5" t="e">
        <f t="shared" si="15"/>
        <v>#VALUE!</v>
      </c>
      <c r="H57" s="1" t="e">
        <f t="shared" si="10"/>
        <v>#VALUE!</v>
      </c>
      <c r="I57" s="1" t="e">
        <f t="shared" si="12"/>
        <v>#VALUE!</v>
      </c>
      <c r="J57" s="6" t="e">
        <f t="shared" si="3"/>
        <v>#VALUE!</v>
      </c>
      <c r="M57" s="9" t="b">
        <f t="shared" si="4"/>
        <v>0</v>
      </c>
      <c r="N57" s="10" t="e">
        <f t="shared" ref="N57:DJ57" si="66">IF(N$1&gt;$L$2,"",IF(N$1=$L$2,1,IF($L$2-N$1=$L$1-$M57,$L$3^($L$1-$M57),($L$3*N58*O58/(N58+($L$3-1)*O58)))))</f>
        <v>#DIV/0!</v>
      </c>
      <c r="O57" s="10" t="e">
        <f t="shared" si="66"/>
        <v>#DIV/0!</v>
      </c>
      <c r="P57" s="10">
        <f t="shared" si="66"/>
        <v>1</v>
      </c>
      <c r="Q57" s="10" t="str">
        <f t="shared" si="66"/>
        <v/>
      </c>
      <c r="R57" s="10" t="str">
        <f t="shared" si="66"/>
        <v/>
      </c>
      <c r="S57" s="10" t="str">
        <f t="shared" si="66"/>
        <v/>
      </c>
      <c r="T57" s="10" t="str">
        <f t="shared" si="66"/>
        <v/>
      </c>
      <c r="U57" s="10" t="str">
        <f t="shared" si="66"/>
        <v/>
      </c>
      <c r="V57" s="10" t="str">
        <f t="shared" si="66"/>
        <v/>
      </c>
      <c r="W57" s="10" t="str">
        <f t="shared" si="66"/>
        <v/>
      </c>
      <c r="X57" s="10" t="str">
        <f t="shared" si="66"/>
        <v/>
      </c>
      <c r="Y57" s="10" t="str">
        <f t="shared" si="66"/>
        <v/>
      </c>
      <c r="Z57" s="10" t="str">
        <f t="shared" si="66"/>
        <v/>
      </c>
      <c r="AA57" s="10" t="str">
        <f t="shared" si="66"/>
        <v/>
      </c>
      <c r="AB57" s="10" t="str">
        <f t="shared" si="66"/>
        <v/>
      </c>
      <c r="AC57" s="10" t="str">
        <f t="shared" si="66"/>
        <v/>
      </c>
      <c r="AD57" s="10" t="str">
        <f t="shared" si="66"/>
        <v/>
      </c>
      <c r="AE57" s="10" t="str">
        <f t="shared" si="66"/>
        <v/>
      </c>
      <c r="AF57" s="10" t="str">
        <f t="shared" si="66"/>
        <v/>
      </c>
      <c r="AG57" s="10" t="str">
        <f t="shared" si="66"/>
        <v/>
      </c>
      <c r="AH57" s="10" t="str">
        <f t="shared" si="66"/>
        <v/>
      </c>
      <c r="AI57" s="10" t="str">
        <f t="shared" si="66"/>
        <v/>
      </c>
      <c r="AJ57" s="10" t="str">
        <f t="shared" si="66"/>
        <v/>
      </c>
      <c r="AK57" s="10" t="str">
        <f t="shared" si="66"/>
        <v/>
      </c>
      <c r="AL57" s="10" t="str">
        <f t="shared" si="66"/>
        <v/>
      </c>
      <c r="AM57" s="10" t="str">
        <f t="shared" si="66"/>
        <v/>
      </c>
      <c r="AN57" s="10" t="str">
        <f t="shared" si="66"/>
        <v/>
      </c>
      <c r="AO57" s="10" t="str">
        <f t="shared" si="66"/>
        <v/>
      </c>
      <c r="AP57" s="10" t="str">
        <f t="shared" si="66"/>
        <v/>
      </c>
      <c r="AQ57" s="10" t="str">
        <f t="shared" si="66"/>
        <v/>
      </c>
      <c r="AR57" s="10" t="str">
        <f t="shared" si="66"/>
        <v/>
      </c>
      <c r="AS57" s="10" t="str">
        <f t="shared" si="66"/>
        <v/>
      </c>
      <c r="AT57" s="10" t="str">
        <f t="shared" si="66"/>
        <v/>
      </c>
      <c r="AU57" s="10" t="str">
        <f t="shared" si="66"/>
        <v/>
      </c>
      <c r="AV57" s="10" t="str">
        <f t="shared" si="66"/>
        <v/>
      </c>
      <c r="AW57" s="10" t="str">
        <f t="shared" si="66"/>
        <v/>
      </c>
      <c r="AX57" s="10" t="str">
        <f t="shared" si="66"/>
        <v/>
      </c>
      <c r="AY57" s="10" t="str">
        <f t="shared" si="66"/>
        <v/>
      </c>
      <c r="AZ57" s="10" t="str">
        <f t="shared" si="66"/>
        <v/>
      </c>
      <c r="BA57" s="10" t="str">
        <f t="shared" si="66"/>
        <v/>
      </c>
      <c r="BB57" s="10" t="str">
        <f t="shared" si="66"/>
        <v/>
      </c>
      <c r="BC57" s="10" t="str">
        <f t="shared" si="66"/>
        <v/>
      </c>
      <c r="BD57" s="10" t="str">
        <f t="shared" si="66"/>
        <v/>
      </c>
      <c r="BE57" s="10" t="str">
        <f t="shared" si="66"/>
        <v/>
      </c>
      <c r="BF57" s="10" t="str">
        <f t="shared" si="66"/>
        <v/>
      </c>
      <c r="BG57" s="10" t="str">
        <f t="shared" si="66"/>
        <v/>
      </c>
      <c r="BH57" s="10" t="str">
        <f t="shared" si="66"/>
        <v/>
      </c>
      <c r="BI57" s="10" t="str">
        <f t="shared" si="66"/>
        <v/>
      </c>
      <c r="BJ57" s="10" t="str">
        <f t="shared" si="66"/>
        <v/>
      </c>
      <c r="BK57" s="10" t="str">
        <f t="shared" si="66"/>
        <v/>
      </c>
      <c r="BL57" s="10" t="str">
        <f t="shared" si="66"/>
        <v/>
      </c>
      <c r="BM57" s="10" t="str">
        <f t="shared" si="66"/>
        <v/>
      </c>
      <c r="BN57" s="10" t="str">
        <f t="shared" si="66"/>
        <v/>
      </c>
      <c r="BO57" s="10" t="str">
        <f t="shared" si="66"/>
        <v/>
      </c>
      <c r="BP57" s="10" t="str">
        <f t="shared" si="66"/>
        <v/>
      </c>
      <c r="BQ57" s="10" t="str">
        <f t="shared" si="66"/>
        <v/>
      </c>
      <c r="BR57" s="10" t="str">
        <f t="shared" si="66"/>
        <v/>
      </c>
      <c r="BS57" s="10" t="str">
        <f t="shared" si="66"/>
        <v/>
      </c>
      <c r="BT57" s="10" t="str">
        <f t="shared" si="66"/>
        <v/>
      </c>
      <c r="BU57" s="10" t="str">
        <f t="shared" si="66"/>
        <v/>
      </c>
      <c r="BV57" s="10" t="str">
        <f t="shared" si="66"/>
        <v/>
      </c>
      <c r="BW57" s="10" t="str">
        <f t="shared" si="66"/>
        <v/>
      </c>
      <c r="BX57" s="10" t="str">
        <f t="shared" si="66"/>
        <v/>
      </c>
      <c r="BY57" s="10" t="str">
        <f t="shared" si="66"/>
        <v/>
      </c>
      <c r="BZ57" s="10" t="str">
        <f t="shared" si="66"/>
        <v/>
      </c>
      <c r="CA57" s="10" t="str">
        <f t="shared" si="66"/>
        <v/>
      </c>
      <c r="CB57" s="10" t="str">
        <f t="shared" si="66"/>
        <v/>
      </c>
      <c r="CC57" s="10" t="str">
        <f t="shared" si="66"/>
        <v/>
      </c>
      <c r="CD57" s="10" t="str">
        <f t="shared" si="66"/>
        <v/>
      </c>
      <c r="CE57" s="10" t="str">
        <f t="shared" si="66"/>
        <v/>
      </c>
      <c r="CF57" s="10" t="str">
        <f t="shared" si="66"/>
        <v/>
      </c>
      <c r="CG57" s="10" t="str">
        <f t="shared" si="66"/>
        <v/>
      </c>
      <c r="CH57" s="10" t="str">
        <f t="shared" si="66"/>
        <v/>
      </c>
      <c r="CI57" s="10" t="str">
        <f t="shared" si="66"/>
        <v/>
      </c>
      <c r="CJ57" s="10" t="str">
        <f t="shared" si="66"/>
        <v/>
      </c>
      <c r="CK57" s="10" t="str">
        <f t="shared" si="66"/>
        <v/>
      </c>
      <c r="CL57" s="10" t="str">
        <f t="shared" si="66"/>
        <v/>
      </c>
      <c r="CM57" s="10" t="str">
        <f t="shared" si="66"/>
        <v/>
      </c>
      <c r="CN57" s="10" t="str">
        <f t="shared" si="66"/>
        <v/>
      </c>
      <c r="CO57" s="10" t="str">
        <f t="shared" si="66"/>
        <v/>
      </c>
      <c r="CP57" s="10" t="str">
        <f t="shared" si="66"/>
        <v/>
      </c>
      <c r="CQ57" s="10" t="str">
        <f t="shared" si="66"/>
        <v/>
      </c>
      <c r="CR57" s="10" t="str">
        <f t="shared" si="66"/>
        <v/>
      </c>
      <c r="CS57" s="10" t="str">
        <f t="shared" si="66"/>
        <v/>
      </c>
      <c r="CT57" s="10" t="str">
        <f t="shared" si="66"/>
        <v/>
      </c>
      <c r="CU57" s="10" t="str">
        <f t="shared" si="66"/>
        <v/>
      </c>
      <c r="CV57" s="10" t="str">
        <f t="shared" si="66"/>
        <v/>
      </c>
      <c r="CW57" s="10" t="str">
        <f t="shared" si="66"/>
        <v/>
      </c>
      <c r="CX57" s="10" t="str">
        <f t="shared" si="66"/>
        <v/>
      </c>
      <c r="CY57" s="10" t="str">
        <f t="shared" si="66"/>
        <v/>
      </c>
      <c r="CZ57" s="10" t="str">
        <f t="shared" si="66"/>
        <v/>
      </c>
      <c r="DA57" s="10" t="str">
        <f t="shared" si="66"/>
        <v/>
      </c>
      <c r="DB57" s="10" t="str">
        <f t="shared" si="66"/>
        <v/>
      </c>
      <c r="DC57" s="10" t="str">
        <f t="shared" si="66"/>
        <v/>
      </c>
      <c r="DD57" s="10" t="str">
        <f t="shared" si="66"/>
        <v/>
      </c>
      <c r="DE57" s="10" t="str">
        <f t="shared" si="66"/>
        <v/>
      </c>
      <c r="DF57" s="10" t="str">
        <f t="shared" si="66"/>
        <v/>
      </c>
      <c r="DG57" s="10" t="str">
        <f t="shared" si="66"/>
        <v/>
      </c>
      <c r="DH57" s="10" t="str">
        <f t="shared" si="66"/>
        <v/>
      </c>
      <c r="DI57" s="10" t="str">
        <f t="shared" si="66"/>
        <v/>
      </c>
      <c r="DJ57" s="10" t="str">
        <f t="shared" si="66"/>
        <v/>
      </c>
    </row>
    <row r="58" spans="1:114" ht="13.5" customHeight="1">
      <c r="A58" s="1">
        <f>Gerenciamento!D58</f>
        <v>0</v>
      </c>
      <c r="B58" s="1" t="e">
        <f t="shared" si="2"/>
        <v>#VALUE!</v>
      </c>
      <c r="C58" s="2" t="e">
        <f t="shared" si="6"/>
        <v>#VALUE!</v>
      </c>
      <c r="D58" s="2" t="e">
        <f t="shared" si="7"/>
        <v>#VALUE!</v>
      </c>
      <c r="E58" s="2" t="e">
        <f t="shared" si="8"/>
        <v>#VALUE!</v>
      </c>
      <c r="F58" s="2" t="e">
        <f t="shared" si="9"/>
        <v>#VALUE!</v>
      </c>
      <c r="G58" s="5" t="e">
        <f t="shared" si="15"/>
        <v>#VALUE!</v>
      </c>
      <c r="H58" s="1" t="e">
        <f t="shared" si="10"/>
        <v>#VALUE!</v>
      </c>
      <c r="I58" s="1" t="e">
        <f t="shared" si="12"/>
        <v>#VALUE!</v>
      </c>
      <c r="J58" s="6" t="e">
        <f t="shared" si="3"/>
        <v>#VALUE!</v>
      </c>
      <c r="M58" s="9" t="b">
        <f t="shared" si="4"/>
        <v>0</v>
      </c>
      <c r="N58" s="10" t="e">
        <f t="shared" ref="N58:DJ58" si="67">IF(N$1&gt;$L$2,"",IF(N$1=$L$2,1,IF($L$2-N$1=$L$1-$M58,$L$3^($L$1-$M58),($L$3*N59*O59/(N59+($L$3-1)*O59)))))</f>
        <v>#DIV/0!</v>
      </c>
      <c r="O58" s="10" t="e">
        <f t="shared" si="67"/>
        <v>#DIV/0!</v>
      </c>
      <c r="P58" s="10">
        <f t="shared" si="67"/>
        <v>1</v>
      </c>
      <c r="Q58" s="10" t="str">
        <f t="shared" si="67"/>
        <v/>
      </c>
      <c r="R58" s="10" t="str">
        <f t="shared" si="67"/>
        <v/>
      </c>
      <c r="S58" s="10" t="str">
        <f t="shared" si="67"/>
        <v/>
      </c>
      <c r="T58" s="10" t="str">
        <f t="shared" si="67"/>
        <v/>
      </c>
      <c r="U58" s="10" t="str">
        <f t="shared" si="67"/>
        <v/>
      </c>
      <c r="V58" s="10" t="str">
        <f t="shared" si="67"/>
        <v/>
      </c>
      <c r="W58" s="10" t="str">
        <f t="shared" si="67"/>
        <v/>
      </c>
      <c r="X58" s="10" t="str">
        <f t="shared" si="67"/>
        <v/>
      </c>
      <c r="Y58" s="10" t="str">
        <f t="shared" si="67"/>
        <v/>
      </c>
      <c r="Z58" s="10" t="str">
        <f t="shared" si="67"/>
        <v/>
      </c>
      <c r="AA58" s="10" t="str">
        <f t="shared" si="67"/>
        <v/>
      </c>
      <c r="AB58" s="10" t="str">
        <f t="shared" si="67"/>
        <v/>
      </c>
      <c r="AC58" s="10" t="str">
        <f t="shared" si="67"/>
        <v/>
      </c>
      <c r="AD58" s="10" t="str">
        <f t="shared" si="67"/>
        <v/>
      </c>
      <c r="AE58" s="10" t="str">
        <f t="shared" si="67"/>
        <v/>
      </c>
      <c r="AF58" s="10" t="str">
        <f t="shared" si="67"/>
        <v/>
      </c>
      <c r="AG58" s="10" t="str">
        <f t="shared" si="67"/>
        <v/>
      </c>
      <c r="AH58" s="10" t="str">
        <f t="shared" si="67"/>
        <v/>
      </c>
      <c r="AI58" s="10" t="str">
        <f t="shared" si="67"/>
        <v/>
      </c>
      <c r="AJ58" s="10" t="str">
        <f t="shared" si="67"/>
        <v/>
      </c>
      <c r="AK58" s="10" t="str">
        <f t="shared" si="67"/>
        <v/>
      </c>
      <c r="AL58" s="10" t="str">
        <f t="shared" si="67"/>
        <v/>
      </c>
      <c r="AM58" s="10" t="str">
        <f t="shared" si="67"/>
        <v/>
      </c>
      <c r="AN58" s="10" t="str">
        <f t="shared" si="67"/>
        <v/>
      </c>
      <c r="AO58" s="10" t="str">
        <f t="shared" si="67"/>
        <v/>
      </c>
      <c r="AP58" s="10" t="str">
        <f t="shared" si="67"/>
        <v/>
      </c>
      <c r="AQ58" s="10" t="str">
        <f t="shared" si="67"/>
        <v/>
      </c>
      <c r="AR58" s="10" t="str">
        <f t="shared" si="67"/>
        <v/>
      </c>
      <c r="AS58" s="10" t="str">
        <f t="shared" si="67"/>
        <v/>
      </c>
      <c r="AT58" s="10" t="str">
        <f t="shared" si="67"/>
        <v/>
      </c>
      <c r="AU58" s="10" t="str">
        <f t="shared" si="67"/>
        <v/>
      </c>
      <c r="AV58" s="10" t="str">
        <f t="shared" si="67"/>
        <v/>
      </c>
      <c r="AW58" s="10" t="str">
        <f t="shared" si="67"/>
        <v/>
      </c>
      <c r="AX58" s="10" t="str">
        <f t="shared" si="67"/>
        <v/>
      </c>
      <c r="AY58" s="10" t="str">
        <f t="shared" si="67"/>
        <v/>
      </c>
      <c r="AZ58" s="10" t="str">
        <f t="shared" si="67"/>
        <v/>
      </c>
      <c r="BA58" s="10" t="str">
        <f t="shared" si="67"/>
        <v/>
      </c>
      <c r="BB58" s="10" t="str">
        <f t="shared" si="67"/>
        <v/>
      </c>
      <c r="BC58" s="10" t="str">
        <f t="shared" si="67"/>
        <v/>
      </c>
      <c r="BD58" s="10" t="str">
        <f t="shared" si="67"/>
        <v/>
      </c>
      <c r="BE58" s="10" t="str">
        <f t="shared" si="67"/>
        <v/>
      </c>
      <c r="BF58" s="10" t="str">
        <f t="shared" si="67"/>
        <v/>
      </c>
      <c r="BG58" s="10" t="str">
        <f t="shared" si="67"/>
        <v/>
      </c>
      <c r="BH58" s="10" t="str">
        <f t="shared" si="67"/>
        <v/>
      </c>
      <c r="BI58" s="10" t="str">
        <f t="shared" si="67"/>
        <v/>
      </c>
      <c r="BJ58" s="10" t="str">
        <f t="shared" si="67"/>
        <v/>
      </c>
      <c r="BK58" s="10" t="str">
        <f t="shared" si="67"/>
        <v/>
      </c>
      <c r="BL58" s="10" t="str">
        <f t="shared" si="67"/>
        <v/>
      </c>
      <c r="BM58" s="10" t="str">
        <f t="shared" si="67"/>
        <v/>
      </c>
      <c r="BN58" s="10" t="str">
        <f t="shared" si="67"/>
        <v/>
      </c>
      <c r="BO58" s="10" t="str">
        <f t="shared" si="67"/>
        <v/>
      </c>
      <c r="BP58" s="10" t="str">
        <f t="shared" si="67"/>
        <v/>
      </c>
      <c r="BQ58" s="10" t="str">
        <f t="shared" si="67"/>
        <v/>
      </c>
      <c r="BR58" s="10" t="str">
        <f t="shared" si="67"/>
        <v/>
      </c>
      <c r="BS58" s="10" t="str">
        <f t="shared" si="67"/>
        <v/>
      </c>
      <c r="BT58" s="10" t="str">
        <f t="shared" si="67"/>
        <v/>
      </c>
      <c r="BU58" s="10" t="str">
        <f t="shared" si="67"/>
        <v/>
      </c>
      <c r="BV58" s="10" t="str">
        <f t="shared" si="67"/>
        <v/>
      </c>
      <c r="BW58" s="10" t="str">
        <f t="shared" si="67"/>
        <v/>
      </c>
      <c r="BX58" s="10" t="str">
        <f t="shared" si="67"/>
        <v/>
      </c>
      <c r="BY58" s="10" t="str">
        <f t="shared" si="67"/>
        <v/>
      </c>
      <c r="BZ58" s="10" t="str">
        <f t="shared" si="67"/>
        <v/>
      </c>
      <c r="CA58" s="10" t="str">
        <f t="shared" si="67"/>
        <v/>
      </c>
      <c r="CB58" s="10" t="str">
        <f t="shared" si="67"/>
        <v/>
      </c>
      <c r="CC58" s="10" t="str">
        <f t="shared" si="67"/>
        <v/>
      </c>
      <c r="CD58" s="10" t="str">
        <f t="shared" si="67"/>
        <v/>
      </c>
      <c r="CE58" s="10" t="str">
        <f t="shared" si="67"/>
        <v/>
      </c>
      <c r="CF58" s="10" t="str">
        <f t="shared" si="67"/>
        <v/>
      </c>
      <c r="CG58" s="10" t="str">
        <f t="shared" si="67"/>
        <v/>
      </c>
      <c r="CH58" s="10" t="str">
        <f t="shared" si="67"/>
        <v/>
      </c>
      <c r="CI58" s="10" t="str">
        <f t="shared" si="67"/>
        <v/>
      </c>
      <c r="CJ58" s="10" t="str">
        <f t="shared" si="67"/>
        <v/>
      </c>
      <c r="CK58" s="10" t="str">
        <f t="shared" si="67"/>
        <v/>
      </c>
      <c r="CL58" s="10" t="str">
        <f t="shared" si="67"/>
        <v/>
      </c>
      <c r="CM58" s="10" t="str">
        <f t="shared" si="67"/>
        <v/>
      </c>
      <c r="CN58" s="10" t="str">
        <f t="shared" si="67"/>
        <v/>
      </c>
      <c r="CO58" s="10" t="str">
        <f t="shared" si="67"/>
        <v/>
      </c>
      <c r="CP58" s="10" t="str">
        <f t="shared" si="67"/>
        <v/>
      </c>
      <c r="CQ58" s="10" t="str">
        <f t="shared" si="67"/>
        <v/>
      </c>
      <c r="CR58" s="10" t="str">
        <f t="shared" si="67"/>
        <v/>
      </c>
      <c r="CS58" s="10" t="str">
        <f t="shared" si="67"/>
        <v/>
      </c>
      <c r="CT58" s="10" t="str">
        <f t="shared" si="67"/>
        <v/>
      </c>
      <c r="CU58" s="10" t="str">
        <f t="shared" si="67"/>
        <v/>
      </c>
      <c r="CV58" s="10" t="str">
        <f t="shared" si="67"/>
        <v/>
      </c>
      <c r="CW58" s="10" t="str">
        <f t="shared" si="67"/>
        <v/>
      </c>
      <c r="CX58" s="10" t="str">
        <f t="shared" si="67"/>
        <v/>
      </c>
      <c r="CY58" s="10" t="str">
        <f t="shared" si="67"/>
        <v/>
      </c>
      <c r="CZ58" s="10" t="str">
        <f t="shared" si="67"/>
        <v/>
      </c>
      <c r="DA58" s="10" t="str">
        <f t="shared" si="67"/>
        <v/>
      </c>
      <c r="DB58" s="10" t="str">
        <f t="shared" si="67"/>
        <v/>
      </c>
      <c r="DC58" s="10" t="str">
        <f t="shared" si="67"/>
        <v/>
      </c>
      <c r="DD58" s="10" t="str">
        <f t="shared" si="67"/>
        <v/>
      </c>
      <c r="DE58" s="10" t="str">
        <f t="shared" si="67"/>
        <v/>
      </c>
      <c r="DF58" s="10" t="str">
        <f t="shared" si="67"/>
        <v/>
      </c>
      <c r="DG58" s="10" t="str">
        <f t="shared" si="67"/>
        <v/>
      </c>
      <c r="DH58" s="10" t="str">
        <f t="shared" si="67"/>
        <v/>
      </c>
      <c r="DI58" s="10" t="str">
        <f t="shared" si="67"/>
        <v/>
      </c>
      <c r="DJ58" s="10" t="str">
        <f t="shared" si="67"/>
        <v/>
      </c>
    </row>
    <row r="59" spans="1:114" ht="13.5" customHeight="1">
      <c r="A59" s="1">
        <f>Gerenciamento!D59</f>
        <v>0</v>
      </c>
      <c r="B59" s="1" t="e">
        <f t="shared" si="2"/>
        <v>#VALUE!</v>
      </c>
      <c r="C59" s="2" t="e">
        <f t="shared" si="6"/>
        <v>#VALUE!</v>
      </c>
      <c r="D59" s="2" t="e">
        <f t="shared" si="7"/>
        <v>#VALUE!</v>
      </c>
      <c r="E59" s="2" t="e">
        <f t="shared" si="8"/>
        <v>#VALUE!</v>
      </c>
      <c r="F59" s="2" t="e">
        <f t="shared" si="9"/>
        <v>#VALUE!</v>
      </c>
      <c r="G59" s="5" t="e">
        <f t="shared" si="15"/>
        <v>#VALUE!</v>
      </c>
      <c r="H59" s="1" t="e">
        <f t="shared" si="10"/>
        <v>#VALUE!</v>
      </c>
      <c r="I59" s="1" t="e">
        <f t="shared" si="12"/>
        <v>#VALUE!</v>
      </c>
      <c r="J59" s="6" t="e">
        <f t="shared" si="3"/>
        <v>#VALUE!</v>
      </c>
      <c r="M59" s="9" t="b">
        <f t="shared" si="4"/>
        <v>0</v>
      </c>
      <c r="N59" s="10" t="e">
        <f t="shared" ref="N59:DJ59" si="68">IF(N$1&gt;$L$2,"",IF(N$1=$L$2,1,IF($L$2-N$1=$L$1-$M59,$L$3^($L$1-$M59),($L$3*N60*O60/(N60+($L$3-1)*O60)))))</f>
        <v>#DIV/0!</v>
      </c>
      <c r="O59" s="10" t="e">
        <f t="shared" si="68"/>
        <v>#DIV/0!</v>
      </c>
      <c r="P59" s="10">
        <f t="shared" si="68"/>
        <v>1</v>
      </c>
      <c r="Q59" s="10" t="str">
        <f t="shared" si="68"/>
        <v/>
      </c>
      <c r="R59" s="10" t="str">
        <f t="shared" si="68"/>
        <v/>
      </c>
      <c r="S59" s="10" t="str">
        <f t="shared" si="68"/>
        <v/>
      </c>
      <c r="T59" s="10" t="str">
        <f t="shared" si="68"/>
        <v/>
      </c>
      <c r="U59" s="10" t="str">
        <f t="shared" si="68"/>
        <v/>
      </c>
      <c r="V59" s="10" t="str">
        <f t="shared" si="68"/>
        <v/>
      </c>
      <c r="W59" s="10" t="str">
        <f t="shared" si="68"/>
        <v/>
      </c>
      <c r="X59" s="10" t="str">
        <f t="shared" si="68"/>
        <v/>
      </c>
      <c r="Y59" s="10" t="str">
        <f t="shared" si="68"/>
        <v/>
      </c>
      <c r="Z59" s="10" t="str">
        <f t="shared" si="68"/>
        <v/>
      </c>
      <c r="AA59" s="10" t="str">
        <f t="shared" si="68"/>
        <v/>
      </c>
      <c r="AB59" s="10" t="str">
        <f t="shared" si="68"/>
        <v/>
      </c>
      <c r="AC59" s="10" t="str">
        <f t="shared" si="68"/>
        <v/>
      </c>
      <c r="AD59" s="10" t="str">
        <f t="shared" si="68"/>
        <v/>
      </c>
      <c r="AE59" s="10" t="str">
        <f t="shared" si="68"/>
        <v/>
      </c>
      <c r="AF59" s="10" t="str">
        <f t="shared" si="68"/>
        <v/>
      </c>
      <c r="AG59" s="10" t="str">
        <f t="shared" si="68"/>
        <v/>
      </c>
      <c r="AH59" s="10" t="str">
        <f t="shared" si="68"/>
        <v/>
      </c>
      <c r="AI59" s="10" t="str">
        <f t="shared" si="68"/>
        <v/>
      </c>
      <c r="AJ59" s="10" t="str">
        <f t="shared" si="68"/>
        <v/>
      </c>
      <c r="AK59" s="10" t="str">
        <f t="shared" si="68"/>
        <v/>
      </c>
      <c r="AL59" s="10" t="str">
        <f t="shared" si="68"/>
        <v/>
      </c>
      <c r="AM59" s="10" t="str">
        <f t="shared" si="68"/>
        <v/>
      </c>
      <c r="AN59" s="10" t="str">
        <f t="shared" si="68"/>
        <v/>
      </c>
      <c r="AO59" s="10" t="str">
        <f t="shared" si="68"/>
        <v/>
      </c>
      <c r="AP59" s="10" t="str">
        <f t="shared" si="68"/>
        <v/>
      </c>
      <c r="AQ59" s="10" t="str">
        <f t="shared" si="68"/>
        <v/>
      </c>
      <c r="AR59" s="10" t="str">
        <f t="shared" si="68"/>
        <v/>
      </c>
      <c r="AS59" s="10" t="str">
        <f t="shared" si="68"/>
        <v/>
      </c>
      <c r="AT59" s="10" t="str">
        <f t="shared" si="68"/>
        <v/>
      </c>
      <c r="AU59" s="10" t="str">
        <f t="shared" si="68"/>
        <v/>
      </c>
      <c r="AV59" s="10" t="str">
        <f t="shared" si="68"/>
        <v/>
      </c>
      <c r="AW59" s="10" t="str">
        <f t="shared" si="68"/>
        <v/>
      </c>
      <c r="AX59" s="10" t="str">
        <f t="shared" si="68"/>
        <v/>
      </c>
      <c r="AY59" s="10" t="str">
        <f t="shared" si="68"/>
        <v/>
      </c>
      <c r="AZ59" s="10" t="str">
        <f t="shared" si="68"/>
        <v/>
      </c>
      <c r="BA59" s="10" t="str">
        <f t="shared" si="68"/>
        <v/>
      </c>
      <c r="BB59" s="10" t="str">
        <f t="shared" si="68"/>
        <v/>
      </c>
      <c r="BC59" s="10" t="str">
        <f t="shared" si="68"/>
        <v/>
      </c>
      <c r="BD59" s="10" t="str">
        <f t="shared" si="68"/>
        <v/>
      </c>
      <c r="BE59" s="10" t="str">
        <f t="shared" si="68"/>
        <v/>
      </c>
      <c r="BF59" s="10" t="str">
        <f t="shared" si="68"/>
        <v/>
      </c>
      <c r="BG59" s="10" t="str">
        <f t="shared" si="68"/>
        <v/>
      </c>
      <c r="BH59" s="10" t="str">
        <f t="shared" si="68"/>
        <v/>
      </c>
      <c r="BI59" s="10" t="str">
        <f t="shared" si="68"/>
        <v/>
      </c>
      <c r="BJ59" s="10" t="str">
        <f t="shared" si="68"/>
        <v/>
      </c>
      <c r="BK59" s="10" t="str">
        <f t="shared" si="68"/>
        <v/>
      </c>
      <c r="BL59" s="10" t="str">
        <f t="shared" si="68"/>
        <v/>
      </c>
      <c r="BM59" s="10" t="str">
        <f t="shared" si="68"/>
        <v/>
      </c>
      <c r="BN59" s="10" t="str">
        <f t="shared" si="68"/>
        <v/>
      </c>
      <c r="BO59" s="10" t="str">
        <f t="shared" si="68"/>
        <v/>
      </c>
      <c r="BP59" s="10" t="str">
        <f t="shared" si="68"/>
        <v/>
      </c>
      <c r="BQ59" s="10" t="str">
        <f t="shared" si="68"/>
        <v/>
      </c>
      <c r="BR59" s="10" t="str">
        <f t="shared" si="68"/>
        <v/>
      </c>
      <c r="BS59" s="10" t="str">
        <f t="shared" si="68"/>
        <v/>
      </c>
      <c r="BT59" s="10" t="str">
        <f t="shared" si="68"/>
        <v/>
      </c>
      <c r="BU59" s="10" t="str">
        <f t="shared" si="68"/>
        <v/>
      </c>
      <c r="BV59" s="10" t="str">
        <f t="shared" si="68"/>
        <v/>
      </c>
      <c r="BW59" s="10" t="str">
        <f t="shared" si="68"/>
        <v/>
      </c>
      <c r="BX59" s="10" t="str">
        <f t="shared" si="68"/>
        <v/>
      </c>
      <c r="BY59" s="10" t="str">
        <f t="shared" si="68"/>
        <v/>
      </c>
      <c r="BZ59" s="10" t="str">
        <f t="shared" si="68"/>
        <v/>
      </c>
      <c r="CA59" s="10" t="str">
        <f t="shared" si="68"/>
        <v/>
      </c>
      <c r="CB59" s="10" t="str">
        <f t="shared" si="68"/>
        <v/>
      </c>
      <c r="CC59" s="10" t="str">
        <f t="shared" si="68"/>
        <v/>
      </c>
      <c r="CD59" s="10" t="str">
        <f t="shared" si="68"/>
        <v/>
      </c>
      <c r="CE59" s="10" t="str">
        <f t="shared" si="68"/>
        <v/>
      </c>
      <c r="CF59" s="10" t="str">
        <f t="shared" si="68"/>
        <v/>
      </c>
      <c r="CG59" s="10" t="str">
        <f t="shared" si="68"/>
        <v/>
      </c>
      <c r="CH59" s="10" t="str">
        <f t="shared" si="68"/>
        <v/>
      </c>
      <c r="CI59" s="10" t="str">
        <f t="shared" si="68"/>
        <v/>
      </c>
      <c r="CJ59" s="10" t="str">
        <f t="shared" si="68"/>
        <v/>
      </c>
      <c r="CK59" s="10" t="str">
        <f t="shared" si="68"/>
        <v/>
      </c>
      <c r="CL59" s="10" t="str">
        <f t="shared" si="68"/>
        <v/>
      </c>
      <c r="CM59" s="10" t="str">
        <f t="shared" si="68"/>
        <v/>
      </c>
      <c r="CN59" s="10" t="str">
        <f t="shared" si="68"/>
        <v/>
      </c>
      <c r="CO59" s="10" t="str">
        <f t="shared" si="68"/>
        <v/>
      </c>
      <c r="CP59" s="10" t="str">
        <f t="shared" si="68"/>
        <v/>
      </c>
      <c r="CQ59" s="10" t="str">
        <f t="shared" si="68"/>
        <v/>
      </c>
      <c r="CR59" s="10" t="str">
        <f t="shared" si="68"/>
        <v/>
      </c>
      <c r="CS59" s="10" t="str">
        <f t="shared" si="68"/>
        <v/>
      </c>
      <c r="CT59" s="10" t="str">
        <f t="shared" si="68"/>
        <v/>
      </c>
      <c r="CU59" s="10" t="str">
        <f t="shared" si="68"/>
        <v/>
      </c>
      <c r="CV59" s="10" t="str">
        <f t="shared" si="68"/>
        <v/>
      </c>
      <c r="CW59" s="10" t="str">
        <f t="shared" si="68"/>
        <v/>
      </c>
      <c r="CX59" s="10" t="str">
        <f t="shared" si="68"/>
        <v/>
      </c>
      <c r="CY59" s="10" t="str">
        <f t="shared" si="68"/>
        <v/>
      </c>
      <c r="CZ59" s="10" t="str">
        <f t="shared" si="68"/>
        <v/>
      </c>
      <c r="DA59" s="10" t="str">
        <f t="shared" si="68"/>
        <v/>
      </c>
      <c r="DB59" s="10" t="str">
        <f t="shared" si="68"/>
        <v/>
      </c>
      <c r="DC59" s="10" t="str">
        <f t="shared" si="68"/>
        <v/>
      </c>
      <c r="DD59" s="10" t="str">
        <f t="shared" si="68"/>
        <v/>
      </c>
      <c r="DE59" s="10" t="str">
        <f t="shared" si="68"/>
        <v/>
      </c>
      <c r="DF59" s="10" t="str">
        <f t="shared" si="68"/>
        <v/>
      </c>
      <c r="DG59" s="10" t="str">
        <f t="shared" si="68"/>
        <v/>
      </c>
      <c r="DH59" s="10" t="str">
        <f t="shared" si="68"/>
        <v/>
      </c>
      <c r="DI59" s="10" t="str">
        <f t="shared" si="68"/>
        <v/>
      </c>
      <c r="DJ59" s="10" t="str">
        <f t="shared" si="68"/>
        <v/>
      </c>
    </row>
    <row r="60" spans="1:114" ht="13.5" customHeight="1">
      <c r="A60" s="1">
        <f>Gerenciamento!D60</f>
        <v>0</v>
      </c>
      <c r="B60" s="1" t="e">
        <f t="shared" si="2"/>
        <v>#VALUE!</v>
      </c>
      <c r="C60" s="2" t="e">
        <f t="shared" si="6"/>
        <v>#VALUE!</v>
      </c>
      <c r="D60" s="2" t="e">
        <f t="shared" si="7"/>
        <v>#VALUE!</v>
      </c>
      <c r="E60" s="2" t="e">
        <f t="shared" si="8"/>
        <v>#VALUE!</v>
      </c>
      <c r="F60" s="2" t="e">
        <f t="shared" si="9"/>
        <v>#VALUE!</v>
      </c>
      <c r="G60" s="5" t="e">
        <f t="shared" si="15"/>
        <v>#VALUE!</v>
      </c>
      <c r="H60" s="1" t="e">
        <f t="shared" si="10"/>
        <v>#VALUE!</v>
      </c>
      <c r="I60" s="1" t="e">
        <f t="shared" si="12"/>
        <v>#VALUE!</v>
      </c>
      <c r="J60" s="6" t="e">
        <f t="shared" si="3"/>
        <v>#VALUE!</v>
      </c>
      <c r="M60" s="9" t="b">
        <f t="shared" si="4"/>
        <v>0</v>
      </c>
      <c r="N60" s="10" t="e">
        <f t="shared" ref="N60:DJ60" si="69">IF(N$1&gt;$L$2,"",IF(N$1=$L$2,1,IF($L$2-N$1=$L$1-$M60,$L$3^($L$1-$M60),($L$3*N61*O61/(N61+($L$3-1)*O61)))))</f>
        <v>#DIV/0!</v>
      </c>
      <c r="O60" s="10" t="e">
        <f t="shared" si="69"/>
        <v>#DIV/0!</v>
      </c>
      <c r="P60" s="10">
        <f t="shared" si="69"/>
        <v>1</v>
      </c>
      <c r="Q60" s="10" t="str">
        <f t="shared" si="69"/>
        <v/>
      </c>
      <c r="R60" s="10" t="str">
        <f t="shared" si="69"/>
        <v/>
      </c>
      <c r="S60" s="10" t="str">
        <f t="shared" si="69"/>
        <v/>
      </c>
      <c r="T60" s="10" t="str">
        <f t="shared" si="69"/>
        <v/>
      </c>
      <c r="U60" s="10" t="str">
        <f t="shared" si="69"/>
        <v/>
      </c>
      <c r="V60" s="10" t="str">
        <f t="shared" si="69"/>
        <v/>
      </c>
      <c r="W60" s="10" t="str">
        <f t="shared" si="69"/>
        <v/>
      </c>
      <c r="X60" s="10" t="str">
        <f t="shared" si="69"/>
        <v/>
      </c>
      <c r="Y60" s="10" t="str">
        <f t="shared" si="69"/>
        <v/>
      </c>
      <c r="Z60" s="10" t="str">
        <f t="shared" si="69"/>
        <v/>
      </c>
      <c r="AA60" s="10" t="str">
        <f t="shared" si="69"/>
        <v/>
      </c>
      <c r="AB60" s="10" t="str">
        <f t="shared" si="69"/>
        <v/>
      </c>
      <c r="AC60" s="10" t="str">
        <f t="shared" si="69"/>
        <v/>
      </c>
      <c r="AD60" s="10" t="str">
        <f t="shared" si="69"/>
        <v/>
      </c>
      <c r="AE60" s="10" t="str">
        <f t="shared" si="69"/>
        <v/>
      </c>
      <c r="AF60" s="10" t="str">
        <f t="shared" si="69"/>
        <v/>
      </c>
      <c r="AG60" s="10" t="str">
        <f t="shared" si="69"/>
        <v/>
      </c>
      <c r="AH60" s="10" t="str">
        <f t="shared" si="69"/>
        <v/>
      </c>
      <c r="AI60" s="10" t="str">
        <f t="shared" si="69"/>
        <v/>
      </c>
      <c r="AJ60" s="10" t="str">
        <f t="shared" si="69"/>
        <v/>
      </c>
      <c r="AK60" s="10" t="str">
        <f t="shared" si="69"/>
        <v/>
      </c>
      <c r="AL60" s="10" t="str">
        <f t="shared" si="69"/>
        <v/>
      </c>
      <c r="AM60" s="10" t="str">
        <f t="shared" si="69"/>
        <v/>
      </c>
      <c r="AN60" s="10" t="str">
        <f t="shared" si="69"/>
        <v/>
      </c>
      <c r="AO60" s="10" t="str">
        <f t="shared" si="69"/>
        <v/>
      </c>
      <c r="AP60" s="10" t="str">
        <f t="shared" si="69"/>
        <v/>
      </c>
      <c r="AQ60" s="10" t="str">
        <f t="shared" si="69"/>
        <v/>
      </c>
      <c r="AR60" s="10" t="str">
        <f t="shared" si="69"/>
        <v/>
      </c>
      <c r="AS60" s="10" t="str">
        <f t="shared" si="69"/>
        <v/>
      </c>
      <c r="AT60" s="10" t="str">
        <f t="shared" si="69"/>
        <v/>
      </c>
      <c r="AU60" s="10" t="str">
        <f t="shared" si="69"/>
        <v/>
      </c>
      <c r="AV60" s="10" t="str">
        <f t="shared" si="69"/>
        <v/>
      </c>
      <c r="AW60" s="10" t="str">
        <f t="shared" si="69"/>
        <v/>
      </c>
      <c r="AX60" s="10" t="str">
        <f t="shared" si="69"/>
        <v/>
      </c>
      <c r="AY60" s="10" t="str">
        <f t="shared" si="69"/>
        <v/>
      </c>
      <c r="AZ60" s="10" t="str">
        <f t="shared" si="69"/>
        <v/>
      </c>
      <c r="BA60" s="10" t="str">
        <f t="shared" si="69"/>
        <v/>
      </c>
      <c r="BB60" s="10" t="str">
        <f t="shared" si="69"/>
        <v/>
      </c>
      <c r="BC60" s="10" t="str">
        <f t="shared" si="69"/>
        <v/>
      </c>
      <c r="BD60" s="10" t="str">
        <f t="shared" si="69"/>
        <v/>
      </c>
      <c r="BE60" s="10" t="str">
        <f t="shared" si="69"/>
        <v/>
      </c>
      <c r="BF60" s="10" t="str">
        <f t="shared" si="69"/>
        <v/>
      </c>
      <c r="BG60" s="10" t="str">
        <f t="shared" si="69"/>
        <v/>
      </c>
      <c r="BH60" s="10" t="str">
        <f t="shared" si="69"/>
        <v/>
      </c>
      <c r="BI60" s="10" t="str">
        <f t="shared" si="69"/>
        <v/>
      </c>
      <c r="BJ60" s="10" t="str">
        <f t="shared" si="69"/>
        <v/>
      </c>
      <c r="BK60" s="10" t="str">
        <f t="shared" si="69"/>
        <v/>
      </c>
      <c r="BL60" s="10" t="str">
        <f t="shared" si="69"/>
        <v/>
      </c>
      <c r="BM60" s="10" t="str">
        <f t="shared" si="69"/>
        <v/>
      </c>
      <c r="BN60" s="10" t="str">
        <f t="shared" si="69"/>
        <v/>
      </c>
      <c r="BO60" s="10" t="str">
        <f t="shared" si="69"/>
        <v/>
      </c>
      <c r="BP60" s="10" t="str">
        <f t="shared" si="69"/>
        <v/>
      </c>
      <c r="BQ60" s="10" t="str">
        <f t="shared" si="69"/>
        <v/>
      </c>
      <c r="BR60" s="10" t="str">
        <f t="shared" si="69"/>
        <v/>
      </c>
      <c r="BS60" s="10" t="str">
        <f t="shared" si="69"/>
        <v/>
      </c>
      <c r="BT60" s="10" t="str">
        <f t="shared" si="69"/>
        <v/>
      </c>
      <c r="BU60" s="10" t="str">
        <f t="shared" si="69"/>
        <v/>
      </c>
      <c r="BV60" s="10" t="str">
        <f t="shared" si="69"/>
        <v/>
      </c>
      <c r="BW60" s="10" t="str">
        <f t="shared" si="69"/>
        <v/>
      </c>
      <c r="BX60" s="10" t="str">
        <f t="shared" si="69"/>
        <v/>
      </c>
      <c r="BY60" s="10" t="str">
        <f t="shared" si="69"/>
        <v/>
      </c>
      <c r="BZ60" s="10" t="str">
        <f t="shared" si="69"/>
        <v/>
      </c>
      <c r="CA60" s="10" t="str">
        <f t="shared" si="69"/>
        <v/>
      </c>
      <c r="CB60" s="10" t="str">
        <f t="shared" si="69"/>
        <v/>
      </c>
      <c r="CC60" s="10" t="str">
        <f t="shared" si="69"/>
        <v/>
      </c>
      <c r="CD60" s="10" t="str">
        <f t="shared" si="69"/>
        <v/>
      </c>
      <c r="CE60" s="10" t="str">
        <f t="shared" si="69"/>
        <v/>
      </c>
      <c r="CF60" s="10" t="str">
        <f t="shared" si="69"/>
        <v/>
      </c>
      <c r="CG60" s="10" t="str">
        <f t="shared" si="69"/>
        <v/>
      </c>
      <c r="CH60" s="10" t="str">
        <f t="shared" si="69"/>
        <v/>
      </c>
      <c r="CI60" s="10" t="str">
        <f t="shared" si="69"/>
        <v/>
      </c>
      <c r="CJ60" s="10" t="str">
        <f t="shared" si="69"/>
        <v/>
      </c>
      <c r="CK60" s="10" t="str">
        <f t="shared" si="69"/>
        <v/>
      </c>
      <c r="CL60" s="10" t="str">
        <f t="shared" si="69"/>
        <v/>
      </c>
      <c r="CM60" s="10" t="str">
        <f t="shared" si="69"/>
        <v/>
      </c>
      <c r="CN60" s="10" t="str">
        <f t="shared" si="69"/>
        <v/>
      </c>
      <c r="CO60" s="10" t="str">
        <f t="shared" si="69"/>
        <v/>
      </c>
      <c r="CP60" s="10" t="str">
        <f t="shared" si="69"/>
        <v/>
      </c>
      <c r="CQ60" s="10" t="str">
        <f t="shared" si="69"/>
        <v/>
      </c>
      <c r="CR60" s="10" t="str">
        <f t="shared" si="69"/>
        <v/>
      </c>
      <c r="CS60" s="10" t="str">
        <f t="shared" si="69"/>
        <v/>
      </c>
      <c r="CT60" s="10" t="str">
        <f t="shared" si="69"/>
        <v/>
      </c>
      <c r="CU60" s="10" t="str">
        <f t="shared" si="69"/>
        <v/>
      </c>
      <c r="CV60" s="10" t="str">
        <f t="shared" si="69"/>
        <v/>
      </c>
      <c r="CW60" s="10" t="str">
        <f t="shared" si="69"/>
        <v/>
      </c>
      <c r="CX60" s="10" t="str">
        <f t="shared" si="69"/>
        <v/>
      </c>
      <c r="CY60" s="10" t="str">
        <f t="shared" si="69"/>
        <v/>
      </c>
      <c r="CZ60" s="10" t="str">
        <f t="shared" si="69"/>
        <v/>
      </c>
      <c r="DA60" s="10" t="str">
        <f t="shared" si="69"/>
        <v/>
      </c>
      <c r="DB60" s="10" t="str">
        <f t="shared" si="69"/>
        <v/>
      </c>
      <c r="DC60" s="10" t="str">
        <f t="shared" si="69"/>
        <v/>
      </c>
      <c r="DD60" s="10" t="str">
        <f t="shared" si="69"/>
        <v/>
      </c>
      <c r="DE60" s="10" t="str">
        <f t="shared" si="69"/>
        <v/>
      </c>
      <c r="DF60" s="10" t="str">
        <f t="shared" si="69"/>
        <v/>
      </c>
      <c r="DG60" s="10" t="str">
        <f t="shared" si="69"/>
        <v/>
      </c>
      <c r="DH60" s="10" t="str">
        <f t="shared" si="69"/>
        <v/>
      </c>
      <c r="DI60" s="10" t="str">
        <f t="shared" si="69"/>
        <v/>
      </c>
      <c r="DJ60" s="10" t="str">
        <f t="shared" si="69"/>
        <v/>
      </c>
    </row>
    <row r="61" spans="1:114" ht="13.5" customHeight="1">
      <c r="A61" s="1">
        <f>Gerenciamento!D61</f>
        <v>0</v>
      </c>
      <c r="B61" s="1" t="e">
        <f t="shared" si="2"/>
        <v>#VALUE!</v>
      </c>
      <c r="C61" s="2" t="e">
        <f t="shared" si="6"/>
        <v>#VALUE!</v>
      </c>
      <c r="D61" s="2" t="e">
        <f t="shared" si="7"/>
        <v>#VALUE!</v>
      </c>
      <c r="E61" s="2" t="e">
        <f t="shared" si="8"/>
        <v>#VALUE!</v>
      </c>
      <c r="F61" s="2" t="e">
        <f t="shared" si="9"/>
        <v>#VALUE!</v>
      </c>
      <c r="G61" s="5" t="e">
        <f t="shared" si="15"/>
        <v>#VALUE!</v>
      </c>
      <c r="H61" s="1" t="e">
        <f t="shared" si="10"/>
        <v>#VALUE!</v>
      </c>
      <c r="I61" s="1" t="e">
        <f t="shared" si="12"/>
        <v>#VALUE!</v>
      </c>
      <c r="J61" s="6" t="e">
        <f t="shared" si="3"/>
        <v>#VALUE!</v>
      </c>
      <c r="M61" s="9" t="b">
        <f t="shared" si="4"/>
        <v>0</v>
      </c>
      <c r="N61" s="10" t="e">
        <f t="shared" ref="N61:DJ61" si="70">IF(N$1&gt;$L$2,"",IF(N$1=$L$2,1,IF($L$2-N$1=$L$1-$M61,$L$3^($L$1-$M61),($L$3*N62*O62/(N62+($L$3-1)*O62)))))</f>
        <v>#DIV/0!</v>
      </c>
      <c r="O61" s="10" t="e">
        <f t="shared" si="70"/>
        <v>#DIV/0!</v>
      </c>
      <c r="P61" s="10">
        <f t="shared" si="70"/>
        <v>1</v>
      </c>
      <c r="Q61" s="10" t="str">
        <f t="shared" si="70"/>
        <v/>
      </c>
      <c r="R61" s="10" t="str">
        <f t="shared" si="70"/>
        <v/>
      </c>
      <c r="S61" s="10" t="str">
        <f t="shared" si="70"/>
        <v/>
      </c>
      <c r="T61" s="10" t="str">
        <f t="shared" si="70"/>
        <v/>
      </c>
      <c r="U61" s="10" t="str">
        <f t="shared" si="70"/>
        <v/>
      </c>
      <c r="V61" s="10" t="str">
        <f t="shared" si="70"/>
        <v/>
      </c>
      <c r="W61" s="10" t="str">
        <f t="shared" si="70"/>
        <v/>
      </c>
      <c r="X61" s="10" t="str">
        <f t="shared" si="70"/>
        <v/>
      </c>
      <c r="Y61" s="10" t="str">
        <f t="shared" si="70"/>
        <v/>
      </c>
      <c r="Z61" s="10" t="str">
        <f t="shared" si="70"/>
        <v/>
      </c>
      <c r="AA61" s="10" t="str">
        <f t="shared" si="70"/>
        <v/>
      </c>
      <c r="AB61" s="10" t="str">
        <f t="shared" si="70"/>
        <v/>
      </c>
      <c r="AC61" s="10" t="str">
        <f t="shared" si="70"/>
        <v/>
      </c>
      <c r="AD61" s="10" t="str">
        <f t="shared" si="70"/>
        <v/>
      </c>
      <c r="AE61" s="10" t="str">
        <f t="shared" si="70"/>
        <v/>
      </c>
      <c r="AF61" s="10" t="str">
        <f t="shared" si="70"/>
        <v/>
      </c>
      <c r="AG61" s="10" t="str">
        <f t="shared" si="70"/>
        <v/>
      </c>
      <c r="AH61" s="10" t="str">
        <f t="shared" si="70"/>
        <v/>
      </c>
      <c r="AI61" s="10" t="str">
        <f t="shared" si="70"/>
        <v/>
      </c>
      <c r="AJ61" s="10" t="str">
        <f t="shared" si="70"/>
        <v/>
      </c>
      <c r="AK61" s="10" t="str">
        <f t="shared" si="70"/>
        <v/>
      </c>
      <c r="AL61" s="10" t="str">
        <f t="shared" si="70"/>
        <v/>
      </c>
      <c r="AM61" s="10" t="str">
        <f t="shared" si="70"/>
        <v/>
      </c>
      <c r="AN61" s="10" t="str">
        <f t="shared" si="70"/>
        <v/>
      </c>
      <c r="AO61" s="10" t="str">
        <f t="shared" si="70"/>
        <v/>
      </c>
      <c r="AP61" s="10" t="str">
        <f t="shared" si="70"/>
        <v/>
      </c>
      <c r="AQ61" s="10" t="str">
        <f t="shared" si="70"/>
        <v/>
      </c>
      <c r="AR61" s="10" t="str">
        <f t="shared" si="70"/>
        <v/>
      </c>
      <c r="AS61" s="10" t="str">
        <f t="shared" si="70"/>
        <v/>
      </c>
      <c r="AT61" s="10" t="str">
        <f t="shared" si="70"/>
        <v/>
      </c>
      <c r="AU61" s="10" t="str">
        <f t="shared" si="70"/>
        <v/>
      </c>
      <c r="AV61" s="10" t="str">
        <f t="shared" si="70"/>
        <v/>
      </c>
      <c r="AW61" s="10" t="str">
        <f t="shared" si="70"/>
        <v/>
      </c>
      <c r="AX61" s="10" t="str">
        <f t="shared" si="70"/>
        <v/>
      </c>
      <c r="AY61" s="10" t="str">
        <f t="shared" si="70"/>
        <v/>
      </c>
      <c r="AZ61" s="10" t="str">
        <f t="shared" si="70"/>
        <v/>
      </c>
      <c r="BA61" s="10" t="str">
        <f t="shared" si="70"/>
        <v/>
      </c>
      <c r="BB61" s="10" t="str">
        <f t="shared" si="70"/>
        <v/>
      </c>
      <c r="BC61" s="10" t="str">
        <f t="shared" si="70"/>
        <v/>
      </c>
      <c r="BD61" s="10" t="str">
        <f t="shared" si="70"/>
        <v/>
      </c>
      <c r="BE61" s="10" t="str">
        <f t="shared" si="70"/>
        <v/>
      </c>
      <c r="BF61" s="10" t="str">
        <f t="shared" si="70"/>
        <v/>
      </c>
      <c r="BG61" s="10" t="str">
        <f t="shared" si="70"/>
        <v/>
      </c>
      <c r="BH61" s="10" t="str">
        <f t="shared" si="70"/>
        <v/>
      </c>
      <c r="BI61" s="10" t="str">
        <f t="shared" si="70"/>
        <v/>
      </c>
      <c r="BJ61" s="10" t="str">
        <f t="shared" si="70"/>
        <v/>
      </c>
      <c r="BK61" s="10" t="str">
        <f t="shared" si="70"/>
        <v/>
      </c>
      <c r="BL61" s="10" t="str">
        <f t="shared" si="70"/>
        <v/>
      </c>
      <c r="BM61" s="10" t="str">
        <f t="shared" si="70"/>
        <v/>
      </c>
      <c r="BN61" s="10" t="str">
        <f t="shared" si="70"/>
        <v/>
      </c>
      <c r="BO61" s="10" t="str">
        <f t="shared" si="70"/>
        <v/>
      </c>
      <c r="BP61" s="10" t="str">
        <f t="shared" si="70"/>
        <v/>
      </c>
      <c r="BQ61" s="10" t="str">
        <f t="shared" si="70"/>
        <v/>
      </c>
      <c r="BR61" s="10" t="str">
        <f t="shared" si="70"/>
        <v/>
      </c>
      <c r="BS61" s="10" t="str">
        <f t="shared" si="70"/>
        <v/>
      </c>
      <c r="BT61" s="10" t="str">
        <f t="shared" si="70"/>
        <v/>
      </c>
      <c r="BU61" s="10" t="str">
        <f t="shared" si="70"/>
        <v/>
      </c>
      <c r="BV61" s="10" t="str">
        <f t="shared" si="70"/>
        <v/>
      </c>
      <c r="BW61" s="10" t="str">
        <f t="shared" si="70"/>
        <v/>
      </c>
      <c r="BX61" s="10" t="str">
        <f t="shared" si="70"/>
        <v/>
      </c>
      <c r="BY61" s="10" t="str">
        <f t="shared" si="70"/>
        <v/>
      </c>
      <c r="BZ61" s="10" t="str">
        <f t="shared" si="70"/>
        <v/>
      </c>
      <c r="CA61" s="10" t="str">
        <f t="shared" si="70"/>
        <v/>
      </c>
      <c r="CB61" s="10" t="str">
        <f t="shared" si="70"/>
        <v/>
      </c>
      <c r="CC61" s="10" t="str">
        <f t="shared" si="70"/>
        <v/>
      </c>
      <c r="CD61" s="10" t="str">
        <f t="shared" si="70"/>
        <v/>
      </c>
      <c r="CE61" s="10" t="str">
        <f t="shared" si="70"/>
        <v/>
      </c>
      <c r="CF61" s="10" t="str">
        <f t="shared" si="70"/>
        <v/>
      </c>
      <c r="CG61" s="10" t="str">
        <f t="shared" si="70"/>
        <v/>
      </c>
      <c r="CH61" s="10" t="str">
        <f t="shared" si="70"/>
        <v/>
      </c>
      <c r="CI61" s="10" t="str">
        <f t="shared" si="70"/>
        <v/>
      </c>
      <c r="CJ61" s="10" t="str">
        <f t="shared" si="70"/>
        <v/>
      </c>
      <c r="CK61" s="10" t="str">
        <f t="shared" si="70"/>
        <v/>
      </c>
      <c r="CL61" s="10" t="str">
        <f t="shared" si="70"/>
        <v/>
      </c>
      <c r="CM61" s="10" t="str">
        <f t="shared" si="70"/>
        <v/>
      </c>
      <c r="CN61" s="10" t="str">
        <f t="shared" si="70"/>
        <v/>
      </c>
      <c r="CO61" s="10" t="str">
        <f t="shared" si="70"/>
        <v/>
      </c>
      <c r="CP61" s="10" t="str">
        <f t="shared" si="70"/>
        <v/>
      </c>
      <c r="CQ61" s="10" t="str">
        <f t="shared" si="70"/>
        <v/>
      </c>
      <c r="CR61" s="10" t="str">
        <f t="shared" si="70"/>
        <v/>
      </c>
      <c r="CS61" s="10" t="str">
        <f t="shared" si="70"/>
        <v/>
      </c>
      <c r="CT61" s="10" t="str">
        <f t="shared" si="70"/>
        <v/>
      </c>
      <c r="CU61" s="10" t="str">
        <f t="shared" si="70"/>
        <v/>
      </c>
      <c r="CV61" s="10" t="str">
        <f t="shared" si="70"/>
        <v/>
      </c>
      <c r="CW61" s="10" t="str">
        <f t="shared" si="70"/>
        <v/>
      </c>
      <c r="CX61" s="10" t="str">
        <f t="shared" si="70"/>
        <v/>
      </c>
      <c r="CY61" s="10" t="str">
        <f t="shared" si="70"/>
        <v/>
      </c>
      <c r="CZ61" s="10" t="str">
        <f t="shared" si="70"/>
        <v/>
      </c>
      <c r="DA61" s="10" t="str">
        <f t="shared" si="70"/>
        <v/>
      </c>
      <c r="DB61" s="10" t="str">
        <f t="shared" si="70"/>
        <v/>
      </c>
      <c r="DC61" s="10" t="str">
        <f t="shared" si="70"/>
        <v/>
      </c>
      <c r="DD61" s="10" t="str">
        <f t="shared" si="70"/>
        <v/>
      </c>
      <c r="DE61" s="10" t="str">
        <f t="shared" si="70"/>
        <v/>
      </c>
      <c r="DF61" s="10" t="str">
        <f t="shared" si="70"/>
        <v/>
      </c>
      <c r="DG61" s="10" t="str">
        <f t="shared" si="70"/>
        <v/>
      </c>
      <c r="DH61" s="10" t="str">
        <f t="shared" si="70"/>
        <v/>
      </c>
      <c r="DI61" s="10" t="str">
        <f t="shared" si="70"/>
        <v/>
      </c>
      <c r="DJ61" s="10" t="str">
        <f t="shared" si="70"/>
        <v/>
      </c>
    </row>
    <row r="62" spans="1:114" ht="13.5" customHeight="1">
      <c r="A62" s="1">
        <f>Gerenciamento!D62</f>
        <v>0</v>
      </c>
      <c r="B62" s="1" t="e">
        <f t="shared" si="2"/>
        <v>#VALUE!</v>
      </c>
      <c r="C62" s="2" t="e">
        <f t="shared" si="6"/>
        <v>#VALUE!</v>
      </c>
      <c r="D62" s="2" t="e">
        <f t="shared" si="7"/>
        <v>#VALUE!</v>
      </c>
      <c r="E62" s="2" t="e">
        <f t="shared" si="8"/>
        <v>#VALUE!</v>
      </c>
      <c r="F62" s="2" t="e">
        <f t="shared" si="9"/>
        <v>#VALUE!</v>
      </c>
      <c r="G62" s="5" t="e">
        <f t="shared" si="15"/>
        <v>#VALUE!</v>
      </c>
      <c r="H62" s="1" t="e">
        <f t="shared" si="10"/>
        <v>#VALUE!</v>
      </c>
      <c r="I62" s="1" t="e">
        <f t="shared" si="12"/>
        <v>#VALUE!</v>
      </c>
      <c r="J62" s="6" t="e">
        <f t="shared" si="3"/>
        <v>#VALUE!</v>
      </c>
      <c r="M62" s="9" t="b">
        <f t="shared" si="4"/>
        <v>0</v>
      </c>
      <c r="N62" s="10" t="e">
        <f t="shared" ref="N62:DJ62" si="71">IF(N$1&gt;$L$2,"",IF(N$1=$L$2,1,IF($L$2-N$1=$L$1-$M62,$L$3^($L$1-$M62),($L$3*N63*O63/(N63+($L$3-1)*O63)))))</f>
        <v>#DIV/0!</v>
      </c>
      <c r="O62" s="10" t="e">
        <f t="shared" si="71"/>
        <v>#DIV/0!</v>
      </c>
      <c r="P62" s="10">
        <f t="shared" si="71"/>
        <v>1</v>
      </c>
      <c r="Q62" s="10" t="str">
        <f t="shared" si="71"/>
        <v/>
      </c>
      <c r="R62" s="10" t="str">
        <f t="shared" si="71"/>
        <v/>
      </c>
      <c r="S62" s="10" t="str">
        <f t="shared" si="71"/>
        <v/>
      </c>
      <c r="T62" s="10" t="str">
        <f t="shared" si="71"/>
        <v/>
      </c>
      <c r="U62" s="10" t="str">
        <f t="shared" si="71"/>
        <v/>
      </c>
      <c r="V62" s="10" t="str">
        <f t="shared" si="71"/>
        <v/>
      </c>
      <c r="W62" s="10" t="str">
        <f t="shared" si="71"/>
        <v/>
      </c>
      <c r="X62" s="10" t="str">
        <f t="shared" si="71"/>
        <v/>
      </c>
      <c r="Y62" s="10" t="str">
        <f t="shared" si="71"/>
        <v/>
      </c>
      <c r="Z62" s="10" t="str">
        <f t="shared" si="71"/>
        <v/>
      </c>
      <c r="AA62" s="10" t="str">
        <f t="shared" si="71"/>
        <v/>
      </c>
      <c r="AB62" s="10" t="str">
        <f t="shared" si="71"/>
        <v/>
      </c>
      <c r="AC62" s="10" t="str">
        <f t="shared" si="71"/>
        <v/>
      </c>
      <c r="AD62" s="10" t="str">
        <f t="shared" si="71"/>
        <v/>
      </c>
      <c r="AE62" s="10" t="str">
        <f t="shared" si="71"/>
        <v/>
      </c>
      <c r="AF62" s="10" t="str">
        <f t="shared" si="71"/>
        <v/>
      </c>
      <c r="AG62" s="10" t="str">
        <f t="shared" si="71"/>
        <v/>
      </c>
      <c r="AH62" s="10" t="str">
        <f t="shared" si="71"/>
        <v/>
      </c>
      <c r="AI62" s="10" t="str">
        <f t="shared" si="71"/>
        <v/>
      </c>
      <c r="AJ62" s="10" t="str">
        <f t="shared" si="71"/>
        <v/>
      </c>
      <c r="AK62" s="10" t="str">
        <f t="shared" si="71"/>
        <v/>
      </c>
      <c r="AL62" s="10" t="str">
        <f t="shared" si="71"/>
        <v/>
      </c>
      <c r="AM62" s="10" t="str">
        <f t="shared" si="71"/>
        <v/>
      </c>
      <c r="AN62" s="10" t="str">
        <f t="shared" si="71"/>
        <v/>
      </c>
      <c r="AO62" s="10" t="str">
        <f t="shared" si="71"/>
        <v/>
      </c>
      <c r="AP62" s="10" t="str">
        <f t="shared" si="71"/>
        <v/>
      </c>
      <c r="AQ62" s="10" t="str">
        <f t="shared" si="71"/>
        <v/>
      </c>
      <c r="AR62" s="10" t="str">
        <f t="shared" si="71"/>
        <v/>
      </c>
      <c r="AS62" s="10" t="str">
        <f t="shared" si="71"/>
        <v/>
      </c>
      <c r="AT62" s="10" t="str">
        <f t="shared" si="71"/>
        <v/>
      </c>
      <c r="AU62" s="10" t="str">
        <f t="shared" si="71"/>
        <v/>
      </c>
      <c r="AV62" s="10" t="str">
        <f t="shared" si="71"/>
        <v/>
      </c>
      <c r="AW62" s="10" t="str">
        <f t="shared" si="71"/>
        <v/>
      </c>
      <c r="AX62" s="10" t="str">
        <f t="shared" si="71"/>
        <v/>
      </c>
      <c r="AY62" s="10" t="str">
        <f t="shared" si="71"/>
        <v/>
      </c>
      <c r="AZ62" s="10" t="str">
        <f t="shared" si="71"/>
        <v/>
      </c>
      <c r="BA62" s="10" t="str">
        <f t="shared" si="71"/>
        <v/>
      </c>
      <c r="BB62" s="10" t="str">
        <f t="shared" si="71"/>
        <v/>
      </c>
      <c r="BC62" s="10" t="str">
        <f t="shared" si="71"/>
        <v/>
      </c>
      <c r="BD62" s="10" t="str">
        <f t="shared" si="71"/>
        <v/>
      </c>
      <c r="BE62" s="10" t="str">
        <f t="shared" si="71"/>
        <v/>
      </c>
      <c r="BF62" s="10" t="str">
        <f t="shared" si="71"/>
        <v/>
      </c>
      <c r="BG62" s="10" t="str">
        <f t="shared" si="71"/>
        <v/>
      </c>
      <c r="BH62" s="10" t="str">
        <f t="shared" si="71"/>
        <v/>
      </c>
      <c r="BI62" s="10" t="str">
        <f t="shared" si="71"/>
        <v/>
      </c>
      <c r="BJ62" s="10" t="str">
        <f t="shared" si="71"/>
        <v/>
      </c>
      <c r="BK62" s="10" t="str">
        <f t="shared" si="71"/>
        <v/>
      </c>
      <c r="BL62" s="10" t="str">
        <f t="shared" si="71"/>
        <v/>
      </c>
      <c r="BM62" s="10" t="str">
        <f t="shared" si="71"/>
        <v/>
      </c>
      <c r="BN62" s="10" t="str">
        <f t="shared" si="71"/>
        <v/>
      </c>
      <c r="BO62" s="10" t="str">
        <f t="shared" si="71"/>
        <v/>
      </c>
      <c r="BP62" s="10" t="str">
        <f t="shared" si="71"/>
        <v/>
      </c>
      <c r="BQ62" s="10" t="str">
        <f t="shared" si="71"/>
        <v/>
      </c>
      <c r="BR62" s="10" t="str">
        <f t="shared" si="71"/>
        <v/>
      </c>
      <c r="BS62" s="10" t="str">
        <f t="shared" si="71"/>
        <v/>
      </c>
      <c r="BT62" s="10" t="str">
        <f t="shared" si="71"/>
        <v/>
      </c>
      <c r="BU62" s="10" t="str">
        <f t="shared" si="71"/>
        <v/>
      </c>
      <c r="BV62" s="10" t="str">
        <f t="shared" si="71"/>
        <v/>
      </c>
      <c r="BW62" s="10" t="str">
        <f t="shared" si="71"/>
        <v/>
      </c>
      <c r="BX62" s="10" t="str">
        <f t="shared" si="71"/>
        <v/>
      </c>
      <c r="BY62" s="10" t="str">
        <f t="shared" si="71"/>
        <v/>
      </c>
      <c r="BZ62" s="10" t="str">
        <f t="shared" si="71"/>
        <v/>
      </c>
      <c r="CA62" s="10" t="str">
        <f t="shared" si="71"/>
        <v/>
      </c>
      <c r="CB62" s="10" t="str">
        <f t="shared" si="71"/>
        <v/>
      </c>
      <c r="CC62" s="10" t="str">
        <f t="shared" si="71"/>
        <v/>
      </c>
      <c r="CD62" s="10" t="str">
        <f t="shared" si="71"/>
        <v/>
      </c>
      <c r="CE62" s="10" t="str">
        <f t="shared" si="71"/>
        <v/>
      </c>
      <c r="CF62" s="10" t="str">
        <f t="shared" si="71"/>
        <v/>
      </c>
      <c r="CG62" s="10" t="str">
        <f t="shared" si="71"/>
        <v/>
      </c>
      <c r="CH62" s="10" t="str">
        <f t="shared" si="71"/>
        <v/>
      </c>
      <c r="CI62" s="10" t="str">
        <f t="shared" si="71"/>
        <v/>
      </c>
      <c r="CJ62" s="10" t="str">
        <f t="shared" si="71"/>
        <v/>
      </c>
      <c r="CK62" s="10" t="str">
        <f t="shared" si="71"/>
        <v/>
      </c>
      <c r="CL62" s="10" t="str">
        <f t="shared" si="71"/>
        <v/>
      </c>
      <c r="CM62" s="10" t="str">
        <f t="shared" si="71"/>
        <v/>
      </c>
      <c r="CN62" s="10" t="str">
        <f t="shared" si="71"/>
        <v/>
      </c>
      <c r="CO62" s="10" t="str">
        <f t="shared" si="71"/>
        <v/>
      </c>
      <c r="CP62" s="10" t="str">
        <f t="shared" si="71"/>
        <v/>
      </c>
      <c r="CQ62" s="10" t="str">
        <f t="shared" si="71"/>
        <v/>
      </c>
      <c r="CR62" s="10" t="str">
        <f t="shared" si="71"/>
        <v/>
      </c>
      <c r="CS62" s="10" t="str">
        <f t="shared" si="71"/>
        <v/>
      </c>
      <c r="CT62" s="10" t="str">
        <f t="shared" si="71"/>
        <v/>
      </c>
      <c r="CU62" s="10" t="str">
        <f t="shared" si="71"/>
        <v/>
      </c>
      <c r="CV62" s="10" t="str">
        <f t="shared" si="71"/>
        <v/>
      </c>
      <c r="CW62" s="10" t="str">
        <f t="shared" si="71"/>
        <v/>
      </c>
      <c r="CX62" s="10" t="str">
        <f t="shared" si="71"/>
        <v/>
      </c>
      <c r="CY62" s="10" t="str">
        <f t="shared" si="71"/>
        <v/>
      </c>
      <c r="CZ62" s="10" t="str">
        <f t="shared" si="71"/>
        <v/>
      </c>
      <c r="DA62" s="10" t="str">
        <f t="shared" si="71"/>
        <v/>
      </c>
      <c r="DB62" s="10" t="str">
        <f t="shared" si="71"/>
        <v/>
      </c>
      <c r="DC62" s="10" t="str">
        <f t="shared" si="71"/>
        <v/>
      </c>
      <c r="DD62" s="10" t="str">
        <f t="shared" si="71"/>
        <v/>
      </c>
      <c r="DE62" s="10" t="str">
        <f t="shared" si="71"/>
        <v/>
      </c>
      <c r="DF62" s="10" t="str">
        <f t="shared" si="71"/>
        <v/>
      </c>
      <c r="DG62" s="10" t="str">
        <f t="shared" si="71"/>
        <v/>
      </c>
      <c r="DH62" s="10" t="str">
        <f t="shared" si="71"/>
        <v/>
      </c>
      <c r="DI62" s="10" t="str">
        <f t="shared" si="71"/>
        <v/>
      </c>
      <c r="DJ62" s="10" t="str">
        <f t="shared" si="71"/>
        <v/>
      </c>
    </row>
    <row r="63" spans="1:114" ht="13.5" customHeight="1">
      <c r="A63" s="1">
        <f>Gerenciamento!D63</f>
        <v>0</v>
      </c>
      <c r="B63" s="1" t="e">
        <f t="shared" si="2"/>
        <v>#VALUE!</v>
      </c>
      <c r="C63" s="2" t="e">
        <f t="shared" si="6"/>
        <v>#VALUE!</v>
      </c>
      <c r="D63" s="2" t="e">
        <f t="shared" si="7"/>
        <v>#VALUE!</v>
      </c>
      <c r="E63" s="2" t="e">
        <f t="shared" si="8"/>
        <v>#VALUE!</v>
      </c>
      <c r="F63" s="2" t="e">
        <f t="shared" si="9"/>
        <v>#VALUE!</v>
      </c>
      <c r="G63" s="5" t="e">
        <f t="shared" si="15"/>
        <v>#VALUE!</v>
      </c>
      <c r="H63" s="1" t="e">
        <f t="shared" si="10"/>
        <v>#VALUE!</v>
      </c>
      <c r="I63" s="1" t="e">
        <f t="shared" si="12"/>
        <v>#VALUE!</v>
      </c>
      <c r="J63" s="6" t="e">
        <f t="shared" si="3"/>
        <v>#VALUE!</v>
      </c>
      <c r="M63" s="9" t="b">
        <f t="shared" si="4"/>
        <v>0</v>
      </c>
      <c r="N63" s="10" t="e">
        <f t="shared" ref="N63:DJ63" si="72">IF(N$1&gt;$L$2,"",IF(N$1=$L$2,1,IF($L$2-N$1=$L$1-$M63,$L$3^($L$1-$M63),($L$3*N64*O64/(N64+($L$3-1)*O64)))))</f>
        <v>#DIV/0!</v>
      </c>
      <c r="O63" s="10" t="e">
        <f t="shared" si="72"/>
        <v>#DIV/0!</v>
      </c>
      <c r="P63" s="10">
        <f t="shared" si="72"/>
        <v>1</v>
      </c>
      <c r="Q63" s="10" t="str">
        <f t="shared" si="72"/>
        <v/>
      </c>
      <c r="R63" s="10" t="str">
        <f t="shared" si="72"/>
        <v/>
      </c>
      <c r="S63" s="10" t="str">
        <f t="shared" si="72"/>
        <v/>
      </c>
      <c r="T63" s="10" t="str">
        <f t="shared" si="72"/>
        <v/>
      </c>
      <c r="U63" s="10" t="str">
        <f t="shared" si="72"/>
        <v/>
      </c>
      <c r="V63" s="10" t="str">
        <f t="shared" si="72"/>
        <v/>
      </c>
      <c r="W63" s="10" t="str">
        <f t="shared" si="72"/>
        <v/>
      </c>
      <c r="X63" s="10" t="str">
        <f t="shared" si="72"/>
        <v/>
      </c>
      <c r="Y63" s="10" t="str">
        <f t="shared" si="72"/>
        <v/>
      </c>
      <c r="Z63" s="10" t="str">
        <f t="shared" si="72"/>
        <v/>
      </c>
      <c r="AA63" s="10" t="str">
        <f t="shared" si="72"/>
        <v/>
      </c>
      <c r="AB63" s="10" t="str">
        <f t="shared" si="72"/>
        <v/>
      </c>
      <c r="AC63" s="10" t="str">
        <f t="shared" si="72"/>
        <v/>
      </c>
      <c r="AD63" s="10" t="str">
        <f t="shared" si="72"/>
        <v/>
      </c>
      <c r="AE63" s="10" t="str">
        <f t="shared" si="72"/>
        <v/>
      </c>
      <c r="AF63" s="10" t="str">
        <f t="shared" si="72"/>
        <v/>
      </c>
      <c r="AG63" s="10" t="str">
        <f t="shared" si="72"/>
        <v/>
      </c>
      <c r="AH63" s="10" t="str">
        <f t="shared" si="72"/>
        <v/>
      </c>
      <c r="AI63" s="10" t="str">
        <f t="shared" si="72"/>
        <v/>
      </c>
      <c r="AJ63" s="10" t="str">
        <f t="shared" si="72"/>
        <v/>
      </c>
      <c r="AK63" s="10" t="str">
        <f t="shared" si="72"/>
        <v/>
      </c>
      <c r="AL63" s="10" t="str">
        <f t="shared" si="72"/>
        <v/>
      </c>
      <c r="AM63" s="10" t="str">
        <f t="shared" si="72"/>
        <v/>
      </c>
      <c r="AN63" s="10" t="str">
        <f t="shared" si="72"/>
        <v/>
      </c>
      <c r="AO63" s="10" t="str">
        <f t="shared" si="72"/>
        <v/>
      </c>
      <c r="AP63" s="10" t="str">
        <f t="shared" si="72"/>
        <v/>
      </c>
      <c r="AQ63" s="10" t="str">
        <f t="shared" si="72"/>
        <v/>
      </c>
      <c r="AR63" s="10" t="str">
        <f t="shared" si="72"/>
        <v/>
      </c>
      <c r="AS63" s="10" t="str">
        <f t="shared" si="72"/>
        <v/>
      </c>
      <c r="AT63" s="10" t="str">
        <f t="shared" si="72"/>
        <v/>
      </c>
      <c r="AU63" s="10" t="str">
        <f t="shared" si="72"/>
        <v/>
      </c>
      <c r="AV63" s="10" t="str">
        <f t="shared" si="72"/>
        <v/>
      </c>
      <c r="AW63" s="10" t="str">
        <f t="shared" si="72"/>
        <v/>
      </c>
      <c r="AX63" s="10" t="str">
        <f t="shared" si="72"/>
        <v/>
      </c>
      <c r="AY63" s="10" t="str">
        <f t="shared" si="72"/>
        <v/>
      </c>
      <c r="AZ63" s="10" t="str">
        <f t="shared" si="72"/>
        <v/>
      </c>
      <c r="BA63" s="10" t="str">
        <f t="shared" si="72"/>
        <v/>
      </c>
      <c r="BB63" s="10" t="str">
        <f t="shared" si="72"/>
        <v/>
      </c>
      <c r="BC63" s="10" t="str">
        <f t="shared" si="72"/>
        <v/>
      </c>
      <c r="BD63" s="10" t="str">
        <f t="shared" si="72"/>
        <v/>
      </c>
      <c r="BE63" s="10" t="str">
        <f t="shared" si="72"/>
        <v/>
      </c>
      <c r="BF63" s="10" t="str">
        <f t="shared" si="72"/>
        <v/>
      </c>
      <c r="BG63" s="10" t="str">
        <f t="shared" si="72"/>
        <v/>
      </c>
      <c r="BH63" s="10" t="str">
        <f t="shared" si="72"/>
        <v/>
      </c>
      <c r="BI63" s="10" t="str">
        <f t="shared" si="72"/>
        <v/>
      </c>
      <c r="BJ63" s="10" t="str">
        <f t="shared" si="72"/>
        <v/>
      </c>
      <c r="BK63" s="10" t="str">
        <f t="shared" si="72"/>
        <v/>
      </c>
      <c r="BL63" s="10" t="str">
        <f t="shared" si="72"/>
        <v/>
      </c>
      <c r="BM63" s="10" t="str">
        <f t="shared" si="72"/>
        <v/>
      </c>
      <c r="BN63" s="10" t="str">
        <f t="shared" si="72"/>
        <v/>
      </c>
      <c r="BO63" s="10" t="str">
        <f t="shared" si="72"/>
        <v/>
      </c>
      <c r="BP63" s="10" t="str">
        <f t="shared" si="72"/>
        <v/>
      </c>
      <c r="BQ63" s="10" t="str">
        <f t="shared" si="72"/>
        <v/>
      </c>
      <c r="BR63" s="10" t="str">
        <f t="shared" si="72"/>
        <v/>
      </c>
      <c r="BS63" s="10" t="str">
        <f t="shared" si="72"/>
        <v/>
      </c>
      <c r="BT63" s="10" t="str">
        <f t="shared" si="72"/>
        <v/>
      </c>
      <c r="BU63" s="10" t="str">
        <f t="shared" si="72"/>
        <v/>
      </c>
      <c r="BV63" s="10" t="str">
        <f t="shared" si="72"/>
        <v/>
      </c>
      <c r="BW63" s="10" t="str">
        <f t="shared" si="72"/>
        <v/>
      </c>
      <c r="BX63" s="10" t="str">
        <f t="shared" si="72"/>
        <v/>
      </c>
      <c r="BY63" s="10" t="str">
        <f t="shared" si="72"/>
        <v/>
      </c>
      <c r="BZ63" s="10" t="str">
        <f t="shared" si="72"/>
        <v/>
      </c>
      <c r="CA63" s="10" t="str">
        <f t="shared" si="72"/>
        <v/>
      </c>
      <c r="CB63" s="10" t="str">
        <f t="shared" si="72"/>
        <v/>
      </c>
      <c r="CC63" s="10" t="str">
        <f t="shared" si="72"/>
        <v/>
      </c>
      <c r="CD63" s="10" t="str">
        <f t="shared" si="72"/>
        <v/>
      </c>
      <c r="CE63" s="10" t="str">
        <f t="shared" si="72"/>
        <v/>
      </c>
      <c r="CF63" s="10" t="str">
        <f t="shared" si="72"/>
        <v/>
      </c>
      <c r="CG63" s="10" t="str">
        <f t="shared" si="72"/>
        <v/>
      </c>
      <c r="CH63" s="10" t="str">
        <f t="shared" si="72"/>
        <v/>
      </c>
      <c r="CI63" s="10" t="str">
        <f t="shared" si="72"/>
        <v/>
      </c>
      <c r="CJ63" s="10" t="str">
        <f t="shared" si="72"/>
        <v/>
      </c>
      <c r="CK63" s="10" t="str">
        <f t="shared" si="72"/>
        <v/>
      </c>
      <c r="CL63" s="10" t="str">
        <f t="shared" si="72"/>
        <v/>
      </c>
      <c r="CM63" s="10" t="str">
        <f t="shared" si="72"/>
        <v/>
      </c>
      <c r="CN63" s="10" t="str">
        <f t="shared" si="72"/>
        <v/>
      </c>
      <c r="CO63" s="10" t="str">
        <f t="shared" si="72"/>
        <v/>
      </c>
      <c r="CP63" s="10" t="str">
        <f t="shared" si="72"/>
        <v/>
      </c>
      <c r="CQ63" s="10" t="str">
        <f t="shared" si="72"/>
        <v/>
      </c>
      <c r="CR63" s="10" t="str">
        <f t="shared" si="72"/>
        <v/>
      </c>
      <c r="CS63" s="10" t="str">
        <f t="shared" si="72"/>
        <v/>
      </c>
      <c r="CT63" s="10" t="str">
        <f t="shared" si="72"/>
        <v/>
      </c>
      <c r="CU63" s="10" t="str">
        <f t="shared" si="72"/>
        <v/>
      </c>
      <c r="CV63" s="10" t="str">
        <f t="shared" si="72"/>
        <v/>
      </c>
      <c r="CW63" s="10" t="str">
        <f t="shared" si="72"/>
        <v/>
      </c>
      <c r="CX63" s="10" t="str">
        <f t="shared" si="72"/>
        <v/>
      </c>
      <c r="CY63" s="10" t="str">
        <f t="shared" si="72"/>
        <v/>
      </c>
      <c r="CZ63" s="10" t="str">
        <f t="shared" si="72"/>
        <v/>
      </c>
      <c r="DA63" s="10" t="str">
        <f t="shared" si="72"/>
        <v/>
      </c>
      <c r="DB63" s="10" t="str">
        <f t="shared" si="72"/>
        <v/>
      </c>
      <c r="DC63" s="10" t="str">
        <f t="shared" si="72"/>
        <v/>
      </c>
      <c r="DD63" s="10" t="str">
        <f t="shared" si="72"/>
        <v/>
      </c>
      <c r="DE63" s="10" t="str">
        <f t="shared" si="72"/>
        <v/>
      </c>
      <c r="DF63" s="10" t="str">
        <f t="shared" si="72"/>
        <v/>
      </c>
      <c r="DG63" s="10" t="str">
        <f t="shared" si="72"/>
        <v/>
      </c>
      <c r="DH63" s="10" t="str">
        <f t="shared" si="72"/>
        <v/>
      </c>
      <c r="DI63" s="10" t="str">
        <f t="shared" si="72"/>
        <v/>
      </c>
      <c r="DJ63" s="10" t="str">
        <f t="shared" si="72"/>
        <v/>
      </c>
    </row>
    <row r="64" spans="1:114" ht="13.5" customHeight="1">
      <c r="A64" s="1">
        <f>Gerenciamento!D64</f>
        <v>0</v>
      </c>
      <c r="B64" s="1" t="e">
        <f t="shared" si="2"/>
        <v>#VALUE!</v>
      </c>
      <c r="C64" s="2" t="e">
        <f t="shared" si="6"/>
        <v>#VALUE!</v>
      </c>
      <c r="D64" s="2" t="e">
        <f t="shared" si="7"/>
        <v>#VALUE!</v>
      </c>
      <c r="E64" s="2" t="e">
        <f t="shared" si="8"/>
        <v>#VALUE!</v>
      </c>
      <c r="F64" s="2" t="e">
        <f t="shared" si="9"/>
        <v>#VALUE!</v>
      </c>
      <c r="G64" s="5" t="e">
        <f t="shared" si="15"/>
        <v>#VALUE!</v>
      </c>
      <c r="H64" s="1" t="e">
        <f t="shared" si="10"/>
        <v>#VALUE!</v>
      </c>
      <c r="I64" s="1" t="e">
        <f t="shared" si="12"/>
        <v>#VALUE!</v>
      </c>
      <c r="J64" s="6" t="e">
        <f t="shared" si="3"/>
        <v>#VALUE!</v>
      </c>
      <c r="M64" s="9" t="b">
        <f t="shared" si="4"/>
        <v>0</v>
      </c>
      <c r="N64" s="10" t="e">
        <f t="shared" ref="N64:DJ64" si="73">IF(N$1&gt;$L$2,"",IF(N$1=$L$2,1,IF($L$2-N$1=$L$1-$M64,$L$3^($L$1-$M64),($L$3*N65*O65/(N65+($L$3-1)*O65)))))</f>
        <v>#DIV/0!</v>
      </c>
      <c r="O64" s="10" t="e">
        <f t="shared" si="73"/>
        <v>#DIV/0!</v>
      </c>
      <c r="P64" s="10">
        <f t="shared" si="73"/>
        <v>1</v>
      </c>
      <c r="Q64" s="10" t="str">
        <f t="shared" si="73"/>
        <v/>
      </c>
      <c r="R64" s="10" t="str">
        <f t="shared" si="73"/>
        <v/>
      </c>
      <c r="S64" s="10" t="str">
        <f t="shared" si="73"/>
        <v/>
      </c>
      <c r="T64" s="10" t="str">
        <f t="shared" si="73"/>
        <v/>
      </c>
      <c r="U64" s="10" t="str">
        <f t="shared" si="73"/>
        <v/>
      </c>
      <c r="V64" s="10" t="str">
        <f t="shared" si="73"/>
        <v/>
      </c>
      <c r="W64" s="10" t="str">
        <f t="shared" si="73"/>
        <v/>
      </c>
      <c r="X64" s="10" t="str">
        <f t="shared" si="73"/>
        <v/>
      </c>
      <c r="Y64" s="10" t="str">
        <f t="shared" si="73"/>
        <v/>
      </c>
      <c r="Z64" s="10" t="str">
        <f t="shared" si="73"/>
        <v/>
      </c>
      <c r="AA64" s="10" t="str">
        <f t="shared" si="73"/>
        <v/>
      </c>
      <c r="AB64" s="10" t="str">
        <f t="shared" si="73"/>
        <v/>
      </c>
      <c r="AC64" s="10" t="str">
        <f t="shared" si="73"/>
        <v/>
      </c>
      <c r="AD64" s="10" t="str">
        <f t="shared" si="73"/>
        <v/>
      </c>
      <c r="AE64" s="10" t="str">
        <f t="shared" si="73"/>
        <v/>
      </c>
      <c r="AF64" s="10" t="str">
        <f t="shared" si="73"/>
        <v/>
      </c>
      <c r="AG64" s="10" t="str">
        <f t="shared" si="73"/>
        <v/>
      </c>
      <c r="AH64" s="10" t="str">
        <f t="shared" si="73"/>
        <v/>
      </c>
      <c r="AI64" s="10" t="str">
        <f t="shared" si="73"/>
        <v/>
      </c>
      <c r="AJ64" s="10" t="str">
        <f t="shared" si="73"/>
        <v/>
      </c>
      <c r="AK64" s="10" t="str">
        <f t="shared" si="73"/>
        <v/>
      </c>
      <c r="AL64" s="10" t="str">
        <f t="shared" si="73"/>
        <v/>
      </c>
      <c r="AM64" s="10" t="str">
        <f t="shared" si="73"/>
        <v/>
      </c>
      <c r="AN64" s="10" t="str">
        <f t="shared" si="73"/>
        <v/>
      </c>
      <c r="AO64" s="10" t="str">
        <f t="shared" si="73"/>
        <v/>
      </c>
      <c r="AP64" s="10" t="str">
        <f t="shared" si="73"/>
        <v/>
      </c>
      <c r="AQ64" s="10" t="str">
        <f t="shared" si="73"/>
        <v/>
      </c>
      <c r="AR64" s="10" t="str">
        <f t="shared" si="73"/>
        <v/>
      </c>
      <c r="AS64" s="10" t="str">
        <f t="shared" si="73"/>
        <v/>
      </c>
      <c r="AT64" s="10" t="str">
        <f t="shared" si="73"/>
        <v/>
      </c>
      <c r="AU64" s="10" t="str">
        <f t="shared" si="73"/>
        <v/>
      </c>
      <c r="AV64" s="10" t="str">
        <f t="shared" si="73"/>
        <v/>
      </c>
      <c r="AW64" s="10" t="str">
        <f t="shared" si="73"/>
        <v/>
      </c>
      <c r="AX64" s="10" t="str">
        <f t="shared" si="73"/>
        <v/>
      </c>
      <c r="AY64" s="10" t="str">
        <f t="shared" si="73"/>
        <v/>
      </c>
      <c r="AZ64" s="10" t="str">
        <f t="shared" si="73"/>
        <v/>
      </c>
      <c r="BA64" s="10" t="str">
        <f t="shared" si="73"/>
        <v/>
      </c>
      <c r="BB64" s="10" t="str">
        <f t="shared" si="73"/>
        <v/>
      </c>
      <c r="BC64" s="10" t="str">
        <f t="shared" si="73"/>
        <v/>
      </c>
      <c r="BD64" s="10" t="str">
        <f t="shared" si="73"/>
        <v/>
      </c>
      <c r="BE64" s="10" t="str">
        <f t="shared" si="73"/>
        <v/>
      </c>
      <c r="BF64" s="10" t="str">
        <f t="shared" si="73"/>
        <v/>
      </c>
      <c r="BG64" s="10" t="str">
        <f t="shared" si="73"/>
        <v/>
      </c>
      <c r="BH64" s="10" t="str">
        <f t="shared" si="73"/>
        <v/>
      </c>
      <c r="BI64" s="10" t="str">
        <f t="shared" si="73"/>
        <v/>
      </c>
      <c r="BJ64" s="10" t="str">
        <f t="shared" si="73"/>
        <v/>
      </c>
      <c r="BK64" s="10" t="str">
        <f t="shared" si="73"/>
        <v/>
      </c>
      <c r="BL64" s="10" t="str">
        <f t="shared" si="73"/>
        <v/>
      </c>
      <c r="BM64" s="10" t="str">
        <f t="shared" si="73"/>
        <v/>
      </c>
      <c r="BN64" s="10" t="str">
        <f t="shared" si="73"/>
        <v/>
      </c>
      <c r="BO64" s="10" t="str">
        <f t="shared" si="73"/>
        <v/>
      </c>
      <c r="BP64" s="10" t="str">
        <f t="shared" si="73"/>
        <v/>
      </c>
      <c r="BQ64" s="10" t="str">
        <f t="shared" si="73"/>
        <v/>
      </c>
      <c r="BR64" s="10" t="str">
        <f t="shared" si="73"/>
        <v/>
      </c>
      <c r="BS64" s="10" t="str">
        <f t="shared" si="73"/>
        <v/>
      </c>
      <c r="BT64" s="10" t="str">
        <f t="shared" si="73"/>
        <v/>
      </c>
      <c r="BU64" s="10" t="str">
        <f t="shared" si="73"/>
        <v/>
      </c>
      <c r="BV64" s="10" t="str">
        <f t="shared" si="73"/>
        <v/>
      </c>
      <c r="BW64" s="10" t="str">
        <f t="shared" si="73"/>
        <v/>
      </c>
      <c r="BX64" s="10" t="str">
        <f t="shared" si="73"/>
        <v/>
      </c>
      <c r="BY64" s="10" t="str">
        <f t="shared" si="73"/>
        <v/>
      </c>
      <c r="BZ64" s="10" t="str">
        <f t="shared" si="73"/>
        <v/>
      </c>
      <c r="CA64" s="10" t="str">
        <f t="shared" si="73"/>
        <v/>
      </c>
      <c r="CB64" s="10" t="str">
        <f t="shared" si="73"/>
        <v/>
      </c>
      <c r="CC64" s="10" t="str">
        <f t="shared" si="73"/>
        <v/>
      </c>
      <c r="CD64" s="10" t="str">
        <f t="shared" si="73"/>
        <v/>
      </c>
      <c r="CE64" s="10" t="str">
        <f t="shared" si="73"/>
        <v/>
      </c>
      <c r="CF64" s="10" t="str">
        <f t="shared" si="73"/>
        <v/>
      </c>
      <c r="CG64" s="10" t="str">
        <f t="shared" si="73"/>
        <v/>
      </c>
      <c r="CH64" s="10" t="str">
        <f t="shared" si="73"/>
        <v/>
      </c>
      <c r="CI64" s="10" t="str">
        <f t="shared" si="73"/>
        <v/>
      </c>
      <c r="CJ64" s="10" t="str">
        <f t="shared" si="73"/>
        <v/>
      </c>
      <c r="CK64" s="10" t="str">
        <f t="shared" si="73"/>
        <v/>
      </c>
      <c r="CL64" s="10" t="str">
        <f t="shared" si="73"/>
        <v/>
      </c>
      <c r="CM64" s="10" t="str">
        <f t="shared" si="73"/>
        <v/>
      </c>
      <c r="CN64" s="10" t="str">
        <f t="shared" si="73"/>
        <v/>
      </c>
      <c r="CO64" s="10" t="str">
        <f t="shared" si="73"/>
        <v/>
      </c>
      <c r="CP64" s="10" t="str">
        <f t="shared" si="73"/>
        <v/>
      </c>
      <c r="CQ64" s="10" t="str">
        <f t="shared" si="73"/>
        <v/>
      </c>
      <c r="CR64" s="10" t="str">
        <f t="shared" si="73"/>
        <v/>
      </c>
      <c r="CS64" s="10" t="str">
        <f t="shared" si="73"/>
        <v/>
      </c>
      <c r="CT64" s="10" t="str">
        <f t="shared" si="73"/>
        <v/>
      </c>
      <c r="CU64" s="10" t="str">
        <f t="shared" si="73"/>
        <v/>
      </c>
      <c r="CV64" s="10" t="str">
        <f t="shared" si="73"/>
        <v/>
      </c>
      <c r="CW64" s="10" t="str">
        <f t="shared" si="73"/>
        <v/>
      </c>
      <c r="CX64" s="10" t="str">
        <f t="shared" si="73"/>
        <v/>
      </c>
      <c r="CY64" s="10" t="str">
        <f t="shared" si="73"/>
        <v/>
      </c>
      <c r="CZ64" s="10" t="str">
        <f t="shared" si="73"/>
        <v/>
      </c>
      <c r="DA64" s="10" t="str">
        <f t="shared" si="73"/>
        <v/>
      </c>
      <c r="DB64" s="10" t="str">
        <f t="shared" si="73"/>
        <v/>
      </c>
      <c r="DC64" s="10" t="str">
        <f t="shared" si="73"/>
        <v/>
      </c>
      <c r="DD64" s="10" t="str">
        <f t="shared" si="73"/>
        <v/>
      </c>
      <c r="DE64" s="10" t="str">
        <f t="shared" si="73"/>
        <v/>
      </c>
      <c r="DF64" s="10" t="str">
        <f t="shared" si="73"/>
        <v/>
      </c>
      <c r="DG64" s="10" t="str">
        <f t="shared" si="73"/>
        <v/>
      </c>
      <c r="DH64" s="10" t="str">
        <f t="shared" si="73"/>
        <v/>
      </c>
      <c r="DI64" s="10" t="str">
        <f t="shared" si="73"/>
        <v/>
      </c>
      <c r="DJ64" s="10" t="str">
        <f t="shared" si="73"/>
        <v/>
      </c>
    </row>
    <row r="65" spans="1:114" ht="13.5" customHeight="1">
      <c r="A65" s="1">
        <f>Gerenciamento!D65</f>
        <v>0</v>
      </c>
      <c r="B65" s="1" t="e">
        <f t="shared" si="2"/>
        <v>#VALUE!</v>
      </c>
      <c r="C65" s="2" t="e">
        <f t="shared" si="6"/>
        <v>#VALUE!</v>
      </c>
      <c r="D65" s="2" t="e">
        <f t="shared" si="7"/>
        <v>#VALUE!</v>
      </c>
      <c r="E65" s="2" t="e">
        <f t="shared" si="8"/>
        <v>#VALUE!</v>
      </c>
      <c r="F65" s="2" t="e">
        <f t="shared" si="9"/>
        <v>#VALUE!</v>
      </c>
      <c r="G65" s="5" t="e">
        <f t="shared" si="15"/>
        <v>#VALUE!</v>
      </c>
      <c r="H65" s="1" t="e">
        <f t="shared" si="10"/>
        <v>#VALUE!</v>
      </c>
      <c r="I65" s="1" t="e">
        <f t="shared" si="12"/>
        <v>#VALUE!</v>
      </c>
      <c r="J65" s="6" t="e">
        <f t="shared" si="3"/>
        <v>#VALUE!</v>
      </c>
      <c r="M65" s="9" t="b">
        <f t="shared" si="4"/>
        <v>0</v>
      </c>
      <c r="N65" s="10" t="e">
        <f t="shared" ref="N65:DJ65" si="74">IF(N$1&gt;$L$2,"",IF(N$1=$L$2,1,IF($L$2-N$1=$L$1-$M65,$L$3^($L$1-$M65),($L$3*N66*O66/(N66+($L$3-1)*O66)))))</f>
        <v>#DIV/0!</v>
      </c>
      <c r="O65" s="10" t="e">
        <f t="shared" si="74"/>
        <v>#DIV/0!</v>
      </c>
      <c r="P65" s="10">
        <f t="shared" si="74"/>
        <v>1</v>
      </c>
      <c r="Q65" s="10" t="str">
        <f t="shared" si="74"/>
        <v/>
      </c>
      <c r="R65" s="10" t="str">
        <f t="shared" si="74"/>
        <v/>
      </c>
      <c r="S65" s="10" t="str">
        <f t="shared" si="74"/>
        <v/>
      </c>
      <c r="T65" s="10" t="str">
        <f t="shared" si="74"/>
        <v/>
      </c>
      <c r="U65" s="10" t="str">
        <f t="shared" si="74"/>
        <v/>
      </c>
      <c r="V65" s="10" t="str">
        <f t="shared" si="74"/>
        <v/>
      </c>
      <c r="W65" s="10" t="str">
        <f t="shared" si="74"/>
        <v/>
      </c>
      <c r="X65" s="10" t="str">
        <f t="shared" si="74"/>
        <v/>
      </c>
      <c r="Y65" s="10" t="str">
        <f t="shared" si="74"/>
        <v/>
      </c>
      <c r="Z65" s="10" t="str">
        <f t="shared" si="74"/>
        <v/>
      </c>
      <c r="AA65" s="10" t="str">
        <f t="shared" si="74"/>
        <v/>
      </c>
      <c r="AB65" s="10" t="str">
        <f t="shared" si="74"/>
        <v/>
      </c>
      <c r="AC65" s="10" t="str">
        <f t="shared" si="74"/>
        <v/>
      </c>
      <c r="AD65" s="10" t="str">
        <f t="shared" si="74"/>
        <v/>
      </c>
      <c r="AE65" s="10" t="str">
        <f t="shared" si="74"/>
        <v/>
      </c>
      <c r="AF65" s="10" t="str">
        <f t="shared" si="74"/>
        <v/>
      </c>
      <c r="AG65" s="10" t="str">
        <f t="shared" si="74"/>
        <v/>
      </c>
      <c r="AH65" s="10" t="str">
        <f t="shared" si="74"/>
        <v/>
      </c>
      <c r="AI65" s="10" t="str">
        <f t="shared" si="74"/>
        <v/>
      </c>
      <c r="AJ65" s="10" t="str">
        <f t="shared" si="74"/>
        <v/>
      </c>
      <c r="AK65" s="10" t="str">
        <f t="shared" si="74"/>
        <v/>
      </c>
      <c r="AL65" s="10" t="str">
        <f t="shared" si="74"/>
        <v/>
      </c>
      <c r="AM65" s="10" t="str">
        <f t="shared" si="74"/>
        <v/>
      </c>
      <c r="AN65" s="10" t="str">
        <f t="shared" si="74"/>
        <v/>
      </c>
      <c r="AO65" s="10" t="str">
        <f t="shared" si="74"/>
        <v/>
      </c>
      <c r="AP65" s="10" t="str">
        <f t="shared" si="74"/>
        <v/>
      </c>
      <c r="AQ65" s="10" t="str">
        <f t="shared" si="74"/>
        <v/>
      </c>
      <c r="AR65" s="10" t="str">
        <f t="shared" si="74"/>
        <v/>
      </c>
      <c r="AS65" s="10" t="str">
        <f t="shared" si="74"/>
        <v/>
      </c>
      <c r="AT65" s="10" t="str">
        <f t="shared" si="74"/>
        <v/>
      </c>
      <c r="AU65" s="10" t="str">
        <f t="shared" si="74"/>
        <v/>
      </c>
      <c r="AV65" s="10" t="str">
        <f t="shared" si="74"/>
        <v/>
      </c>
      <c r="AW65" s="10" t="str">
        <f t="shared" si="74"/>
        <v/>
      </c>
      <c r="AX65" s="10" t="str">
        <f t="shared" si="74"/>
        <v/>
      </c>
      <c r="AY65" s="10" t="str">
        <f t="shared" si="74"/>
        <v/>
      </c>
      <c r="AZ65" s="10" t="str">
        <f t="shared" si="74"/>
        <v/>
      </c>
      <c r="BA65" s="10" t="str">
        <f t="shared" si="74"/>
        <v/>
      </c>
      <c r="BB65" s="10" t="str">
        <f t="shared" si="74"/>
        <v/>
      </c>
      <c r="BC65" s="10" t="str">
        <f t="shared" si="74"/>
        <v/>
      </c>
      <c r="BD65" s="10" t="str">
        <f t="shared" si="74"/>
        <v/>
      </c>
      <c r="BE65" s="10" t="str">
        <f t="shared" si="74"/>
        <v/>
      </c>
      <c r="BF65" s="10" t="str">
        <f t="shared" si="74"/>
        <v/>
      </c>
      <c r="BG65" s="10" t="str">
        <f t="shared" si="74"/>
        <v/>
      </c>
      <c r="BH65" s="10" t="str">
        <f t="shared" si="74"/>
        <v/>
      </c>
      <c r="BI65" s="10" t="str">
        <f t="shared" si="74"/>
        <v/>
      </c>
      <c r="BJ65" s="10" t="str">
        <f t="shared" si="74"/>
        <v/>
      </c>
      <c r="BK65" s="10" t="str">
        <f t="shared" si="74"/>
        <v/>
      </c>
      <c r="BL65" s="10" t="str">
        <f t="shared" si="74"/>
        <v/>
      </c>
      <c r="BM65" s="10" t="str">
        <f t="shared" si="74"/>
        <v/>
      </c>
      <c r="BN65" s="10" t="str">
        <f t="shared" si="74"/>
        <v/>
      </c>
      <c r="BO65" s="10" t="str">
        <f t="shared" si="74"/>
        <v/>
      </c>
      <c r="BP65" s="10" t="str">
        <f t="shared" si="74"/>
        <v/>
      </c>
      <c r="BQ65" s="10" t="str">
        <f t="shared" si="74"/>
        <v/>
      </c>
      <c r="BR65" s="10" t="str">
        <f t="shared" si="74"/>
        <v/>
      </c>
      <c r="BS65" s="10" t="str">
        <f t="shared" si="74"/>
        <v/>
      </c>
      <c r="BT65" s="10" t="str">
        <f t="shared" si="74"/>
        <v/>
      </c>
      <c r="BU65" s="10" t="str">
        <f t="shared" si="74"/>
        <v/>
      </c>
      <c r="BV65" s="10" t="str">
        <f t="shared" si="74"/>
        <v/>
      </c>
      <c r="BW65" s="10" t="str">
        <f t="shared" si="74"/>
        <v/>
      </c>
      <c r="BX65" s="10" t="str">
        <f t="shared" si="74"/>
        <v/>
      </c>
      <c r="BY65" s="10" t="str">
        <f t="shared" si="74"/>
        <v/>
      </c>
      <c r="BZ65" s="10" t="str">
        <f t="shared" si="74"/>
        <v/>
      </c>
      <c r="CA65" s="10" t="str">
        <f t="shared" si="74"/>
        <v/>
      </c>
      <c r="CB65" s="10" t="str">
        <f t="shared" si="74"/>
        <v/>
      </c>
      <c r="CC65" s="10" t="str">
        <f t="shared" si="74"/>
        <v/>
      </c>
      <c r="CD65" s="10" t="str">
        <f t="shared" si="74"/>
        <v/>
      </c>
      <c r="CE65" s="10" t="str">
        <f t="shared" si="74"/>
        <v/>
      </c>
      <c r="CF65" s="10" t="str">
        <f t="shared" si="74"/>
        <v/>
      </c>
      <c r="CG65" s="10" t="str">
        <f t="shared" si="74"/>
        <v/>
      </c>
      <c r="CH65" s="10" t="str">
        <f t="shared" si="74"/>
        <v/>
      </c>
      <c r="CI65" s="10" t="str">
        <f t="shared" si="74"/>
        <v/>
      </c>
      <c r="CJ65" s="10" t="str">
        <f t="shared" si="74"/>
        <v/>
      </c>
      <c r="CK65" s="10" t="str">
        <f t="shared" si="74"/>
        <v/>
      </c>
      <c r="CL65" s="10" t="str">
        <f t="shared" si="74"/>
        <v/>
      </c>
      <c r="CM65" s="10" t="str">
        <f t="shared" si="74"/>
        <v/>
      </c>
      <c r="CN65" s="10" t="str">
        <f t="shared" si="74"/>
        <v/>
      </c>
      <c r="CO65" s="10" t="str">
        <f t="shared" si="74"/>
        <v/>
      </c>
      <c r="CP65" s="10" t="str">
        <f t="shared" si="74"/>
        <v/>
      </c>
      <c r="CQ65" s="10" t="str">
        <f t="shared" si="74"/>
        <v/>
      </c>
      <c r="CR65" s="10" t="str">
        <f t="shared" si="74"/>
        <v/>
      </c>
      <c r="CS65" s="10" t="str">
        <f t="shared" si="74"/>
        <v/>
      </c>
      <c r="CT65" s="10" t="str">
        <f t="shared" si="74"/>
        <v/>
      </c>
      <c r="CU65" s="10" t="str">
        <f t="shared" si="74"/>
        <v/>
      </c>
      <c r="CV65" s="10" t="str">
        <f t="shared" si="74"/>
        <v/>
      </c>
      <c r="CW65" s="10" t="str">
        <f t="shared" si="74"/>
        <v/>
      </c>
      <c r="CX65" s="10" t="str">
        <f t="shared" si="74"/>
        <v/>
      </c>
      <c r="CY65" s="10" t="str">
        <f t="shared" si="74"/>
        <v/>
      </c>
      <c r="CZ65" s="10" t="str">
        <f t="shared" si="74"/>
        <v/>
      </c>
      <c r="DA65" s="10" t="str">
        <f t="shared" si="74"/>
        <v/>
      </c>
      <c r="DB65" s="10" t="str">
        <f t="shared" si="74"/>
        <v/>
      </c>
      <c r="DC65" s="10" t="str">
        <f t="shared" si="74"/>
        <v/>
      </c>
      <c r="DD65" s="10" t="str">
        <f t="shared" si="74"/>
        <v/>
      </c>
      <c r="DE65" s="10" t="str">
        <f t="shared" si="74"/>
        <v/>
      </c>
      <c r="DF65" s="10" t="str">
        <f t="shared" si="74"/>
        <v/>
      </c>
      <c r="DG65" s="10" t="str">
        <f t="shared" si="74"/>
        <v/>
      </c>
      <c r="DH65" s="10" t="str">
        <f t="shared" si="74"/>
        <v/>
      </c>
      <c r="DI65" s="10" t="str">
        <f t="shared" si="74"/>
        <v/>
      </c>
      <c r="DJ65" s="10" t="str">
        <f t="shared" si="74"/>
        <v/>
      </c>
    </row>
    <row r="66" spans="1:114" ht="13.5" customHeight="1">
      <c r="A66" s="1">
        <f>Gerenciamento!D66</f>
        <v>0</v>
      </c>
      <c r="B66" s="1" t="e">
        <f t="shared" si="2"/>
        <v>#VALUE!</v>
      </c>
      <c r="C66" s="2" t="e">
        <f t="shared" si="6"/>
        <v>#VALUE!</v>
      </c>
      <c r="D66" s="2" t="e">
        <f t="shared" si="7"/>
        <v>#VALUE!</v>
      </c>
      <c r="E66" s="2" t="e">
        <f t="shared" si="8"/>
        <v>#VALUE!</v>
      </c>
      <c r="F66" s="2" t="e">
        <f t="shared" si="9"/>
        <v>#VALUE!</v>
      </c>
      <c r="G66" s="5" t="e">
        <f t="shared" si="15"/>
        <v>#VALUE!</v>
      </c>
      <c r="H66" s="1" t="e">
        <f t="shared" si="10"/>
        <v>#VALUE!</v>
      </c>
      <c r="I66" s="1" t="e">
        <f t="shared" si="12"/>
        <v>#VALUE!</v>
      </c>
      <c r="J66" s="6" t="e">
        <f t="shared" si="3"/>
        <v>#VALUE!</v>
      </c>
      <c r="M66" s="9" t="b">
        <f t="shared" si="4"/>
        <v>0</v>
      </c>
      <c r="N66" s="10" t="e">
        <f t="shared" ref="N66:DJ66" si="75">IF(N$1&gt;$L$2,"",IF(N$1=$L$2,1,IF($L$2-N$1=$L$1-$M66,$L$3^($L$1-$M66),($L$3*N67*O67/(N67+($L$3-1)*O67)))))</f>
        <v>#DIV/0!</v>
      </c>
      <c r="O66" s="10" t="e">
        <f t="shared" si="75"/>
        <v>#DIV/0!</v>
      </c>
      <c r="P66" s="10">
        <f t="shared" si="75"/>
        <v>1</v>
      </c>
      <c r="Q66" s="10" t="str">
        <f t="shared" si="75"/>
        <v/>
      </c>
      <c r="R66" s="10" t="str">
        <f t="shared" si="75"/>
        <v/>
      </c>
      <c r="S66" s="10" t="str">
        <f t="shared" si="75"/>
        <v/>
      </c>
      <c r="T66" s="10" t="str">
        <f t="shared" si="75"/>
        <v/>
      </c>
      <c r="U66" s="10" t="str">
        <f t="shared" si="75"/>
        <v/>
      </c>
      <c r="V66" s="10" t="str">
        <f t="shared" si="75"/>
        <v/>
      </c>
      <c r="W66" s="10" t="str">
        <f t="shared" si="75"/>
        <v/>
      </c>
      <c r="X66" s="10" t="str">
        <f t="shared" si="75"/>
        <v/>
      </c>
      <c r="Y66" s="10" t="str">
        <f t="shared" si="75"/>
        <v/>
      </c>
      <c r="Z66" s="10" t="str">
        <f t="shared" si="75"/>
        <v/>
      </c>
      <c r="AA66" s="10" t="str">
        <f t="shared" si="75"/>
        <v/>
      </c>
      <c r="AB66" s="10" t="str">
        <f t="shared" si="75"/>
        <v/>
      </c>
      <c r="AC66" s="10" t="str">
        <f t="shared" si="75"/>
        <v/>
      </c>
      <c r="AD66" s="10" t="str">
        <f t="shared" si="75"/>
        <v/>
      </c>
      <c r="AE66" s="10" t="str">
        <f t="shared" si="75"/>
        <v/>
      </c>
      <c r="AF66" s="10" t="str">
        <f t="shared" si="75"/>
        <v/>
      </c>
      <c r="AG66" s="10" t="str">
        <f t="shared" si="75"/>
        <v/>
      </c>
      <c r="AH66" s="10" t="str">
        <f t="shared" si="75"/>
        <v/>
      </c>
      <c r="AI66" s="10" t="str">
        <f t="shared" si="75"/>
        <v/>
      </c>
      <c r="AJ66" s="10" t="str">
        <f t="shared" si="75"/>
        <v/>
      </c>
      <c r="AK66" s="10" t="str">
        <f t="shared" si="75"/>
        <v/>
      </c>
      <c r="AL66" s="10" t="str">
        <f t="shared" si="75"/>
        <v/>
      </c>
      <c r="AM66" s="10" t="str">
        <f t="shared" si="75"/>
        <v/>
      </c>
      <c r="AN66" s="10" t="str">
        <f t="shared" si="75"/>
        <v/>
      </c>
      <c r="AO66" s="10" t="str">
        <f t="shared" si="75"/>
        <v/>
      </c>
      <c r="AP66" s="10" t="str">
        <f t="shared" si="75"/>
        <v/>
      </c>
      <c r="AQ66" s="10" t="str">
        <f t="shared" si="75"/>
        <v/>
      </c>
      <c r="AR66" s="10" t="str">
        <f t="shared" si="75"/>
        <v/>
      </c>
      <c r="AS66" s="10" t="str">
        <f t="shared" si="75"/>
        <v/>
      </c>
      <c r="AT66" s="10" t="str">
        <f t="shared" si="75"/>
        <v/>
      </c>
      <c r="AU66" s="10" t="str">
        <f t="shared" si="75"/>
        <v/>
      </c>
      <c r="AV66" s="10" t="str">
        <f t="shared" si="75"/>
        <v/>
      </c>
      <c r="AW66" s="10" t="str">
        <f t="shared" si="75"/>
        <v/>
      </c>
      <c r="AX66" s="10" t="str">
        <f t="shared" si="75"/>
        <v/>
      </c>
      <c r="AY66" s="10" t="str">
        <f t="shared" si="75"/>
        <v/>
      </c>
      <c r="AZ66" s="10" t="str">
        <f t="shared" si="75"/>
        <v/>
      </c>
      <c r="BA66" s="10" t="str">
        <f t="shared" si="75"/>
        <v/>
      </c>
      <c r="BB66" s="10" t="str">
        <f t="shared" si="75"/>
        <v/>
      </c>
      <c r="BC66" s="10" t="str">
        <f t="shared" si="75"/>
        <v/>
      </c>
      <c r="BD66" s="10" t="str">
        <f t="shared" si="75"/>
        <v/>
      </c>
      <c r="BE66" s="10" t="str">
        <f t="shared" si="75"/>
        <v/>
      </c>
      <c r="BF66" s="10" t="str">
        <f t="shared" si="75"/>
        <v/>
      </c>
      <c r="BG66" s="10" t="str">
        <f t="shared" si="75"/>
        <v/>
      </c>
      <c r="BH66" s="10" t="str">
        <f t="shared" si="75"/>
        <v/>
      </c>
      <c r="BI66" s="10" t="str">
        <f t="shared" si="75"/>
        <v/>
      </c>
      <c r="BJ66" s="10" t="str">
        <f t="shared" si="75"/>
        <v/>
      </c>
      <c r="BK66" s="10" t="str">
        <f t="shared" si="75"/>
        <v/>
      </c>
      <c r="BL66" s="10" t="str">
        <f t="shared" si="75"/>
        <v/>
      </c>
      <c r="BM66" s="10" t="str">
        <f t="shared" si="75"/>
        <v/>
      </c>
      <c r="BN66" s="10" t="str">
        <f t="shared" si="75"/>
        <v/>
      </c>
      <c r="BO66" s="10" t="str">
        <f t="shared" si="75"/>
        <v/>
      </c>
      <c r="BP66" s="10" t="str">
        <f t="shared" si="75"/>
        <v/>
      </c>
      <c r="BQ66" s="10" t="str">
        <f t="shared" si="75"/>
        <v/>
      </c>
      <c r="BR66" s="10" t="str">
        <f t="shared" si="75"/>
        <v/>
      </c>
      <c r="BS66" s="10" t="str">
        <f t="shared" si="75"/>
        <v/>
      </c>
      <c r="BT66" s="10" t="str">
        <f t="shared" si="75"/>
        <v/>
      </c>
      <c r="BU66" s="10" t="str">
        <f t="shared" si="75"/>
        <v/>
      </c>
      <c r="BV66" s="10" t="str">
        <f t="shared" si="75"/>
        <v/>
      </c>
      <c r="BW66" s="10" t="str">
        <f t="shared" si="75"/>
        <v/>
      </c>
      <c r="BX66" s="10" t="str">
        <f t="shared" si="75"/>
        <v/>
      </c>
      <c r="BY66" s="10" t="str">
        <f t="shared" si="75"/>
        <v/>
      </c>
      <c r="BZ66" s="10" t="str">
        <f t="shared" si="75"/>
        <v/>
      </c>
      <c r="CA66" s="10" t="str">
        <f t="shared" si="75"/>
        <v/>
      </c>
      <c r="CB66" s="10" t="str">
        <f t="shared" si="75"/>
        <v/>
      </c>
      <c r="CC66" s="10" t="str">
        <f t="shared" si="75"/>
        <v/>
      </c>
      <c r="CD66" s="10" t="str">
        <f t="shared" si="75"/>
        <v/>
      </c>
      <c r="CE66" s="10" t="str">
        <f t="shared" si="75"/>
        <v/>
      </c>
      <c r="CF66" s="10" t="str">
        <f t="shared" si="75"/>
        <v/>
      </c>
      <c r="CG66" s="10" t="str">
        <f t="shared" si="75"/>
        <v/>
      </c>
      <c r="CH66" s="10" t="str">
        <f t="shared" si="75"/>
        <v/>
      </c>
      <c r="CI66" s="10" t="str">
        <f t="shared" si="75"/>
        <v/>
      </c>
      <c r="CJ66" s="10" t="str">
        <f t="shared" si="75"/>
        <v/>
      </c>
      <c r="CK66" s="10" t="str">
        <f t="shared" si="75"/>
        <v/>
      </c>
      <c r="CL66" s="10" t="str">
        <f t="shared" si="75"/>
        <v/>
      </c>
      <c r="CM66" s="10" t="str">
        <f t="shared" si="75"/>
        <v/>
      </c>
      <c r="CN66" s="10" t="str">
        <f t="shared" si="75"/>
        <v/>
      </c>
      <c r="CO66" s="10" t="str">
        <f t="shared" si="75"/>
        <v/>
      </c>
      <c r="CP66" s="10" t="str">
        <f t="shared" si="75"/>
        <v/>
      </c>
      <c r="CQ66" s="10" t="str">
        <f t="shared" si="75"/>
        <v/>
      </c>
      <c r="CR66" s="10" t="str">
        <f t="shared" si="75"/>
        <v/>
      </c>
      <c r="CS66" s="10" t="str">
        <f t="shared" si="75"/>
        <v/>
      </c>
      <c r="CT66" s="10" t="str">
        <f t="shared" si="75"/>
        <v/>
      </c>
      <c r="CU66" s="10" t="str">
        <f t="shared" si="75"/>
        <v/>
      </c>
      <c r="CV66" s="10" t="str">
        <f t="shared" si="75"/>
        <v/>
      </c>
      <c r="CW66" s="10" t="str">
        <f t="shared" si="75"/>
        <v/>
      </c>
      <c r="CX66" s="10" t="str">
        <f t="shared" si="75"/>
        <v/>
      </c>
      <c r="CY66" s="10" t="str">
        <f t="shared" si="75"/>
        <v/>
      </c>
      <c r="CZ66" s="10" t="str">
        <f t="shared" si="75"/>
        <v/>
      </c>
      <c r="DA66" s="10" t="str">
        <f t="shared" si="75"/>
        <v/>
      </c>
      <c r="DB66" s="10" t="str">
        <f t="shared" si="75"/>
        <v/>
      </c>
      <c r="DC66" s="10" t="str">
        <f t="shared" si="75"/>
        <v/>
      </c>
      <c r="DD66" s="10" t="str">
        <f t="shared" si="75"/>
        <v/>
      </c>
      <c r="DE66" s="10" t="str">
        <f t="shared" si="75"/>
        <v/>
      </c>
      <c r="DF66" s="10" t="str">
        <f t="shared" si="75"/>
        <v/>
      </c>
      <c r="DG66" s="10" t="str">
        <f t="shared" si="75"/>
        <v/>
      </c>
      <c r="DH66" s="10" t="str">
        <f t="shared" si="75"/>
        <v/>
      </c>
      <c r="DI66" s="10" t="str">
        <f t="shared" si="75"/>
        <v/>
      </c>
      <c r="DJ66" s="10" t="str">
        <f t="shared" si="75"/>
        <v/>
      </c>
    </row>
    <row r="67" spans="1:114" ht="13.5" customHeight="1">
      <c r="A67" s="1">
        <f>Gerenciamento!D67</f>
        <v>0</v>
      </c>
      <c r="B67" s="1" t="e">
        <f t="shared" si="2"/>
        <v>#VALUE!</v>
      </c>
      <c r="C67" s="2" t="e">
        <f t="shared" si="6"/>
        <v>#VALUE!</v>
      </c>
      <c r="D67" s="2" t="e">
        <f t="shared" si="7"/>
        <v>#VALUE!</v>
      </c>
      <c r="E67" s="2" t="e">
        <f t="shared" si="8"/>
        <v>#VALUE!</v>
      </c>
      <c r="F67" s="2" t="e">
        <f t="shared" si="9"/>
        <v>#VALUE!</v>
      </c>
      <c r="G67" s="5" t="e">
        <f t="shared" si="15"/>
        <v>#VALUE!</v>
      </c>
      <c r="H67" s="1" t="e">
        <f t="shared" si="10"/>
        <v>#VALUE!</v>
      </c>
      <c r="I67" s="1" t="e">
        <f t="shared" si="12"/>
        <v>#VALUE!</v>
      </c>
      <c r="J67" s="6" t="e">
        <f t="shared" si="3"/>
        <v>#VALUE!</v>
      </c>
      <c r="M67" s="9" t="b">
        <f t="shared" si="4"/>
        <v>0</v>
      </c>
      <c r="N67" s="10" t="e">
        <f t="shared" ref="N67:DJ67" si="76">IF(N$1&gt;$L$2,"",IF(N$1=$L$2,1,IF($L$2-N$1=$L$1-$M67,$L$3^($L$1-$M67),($L$3*N68*O68/(N68+($L$3-1)*O68)))))</f>
        <v>#DIV/0!</v>
      </c>
      <c r="O67" s="10" t="e">
        <f t="shared" si="76"/>
        <v>#DIV/0!</v>
      </c>
      <c r="P67" s="10">
        <f t="shared" si="76"/>
        <v>1</v>
      </c>
      <c r="Q67" s="10" t="str">
        <f t="shared" si="76"/>
        <v/>
      </c>
      <c r="R67" s="10" t="str">
        <f t="shared" si="76"/>
        <v/>
      </c>
      <c r="S67" s="10" t="str">
        <f t="shared" si="76"/>
        <v/>
      </c>
      <c r="T67" s="10" t="str">
        <f t="shared" si="76"/>
        <v/>
      </c>
      <c r="U67" s="10" t="str">
        <f t="shared" si="76"/>
        <v/>
      </c>
      <c r="V67" s="10" t="str">
        <f t="shared" si="76"/>
        <v/>
      </c>
      <c r="W67" s="10" t="str">
        <f t="shared" si="76"/>
        <v/>
      </c>
      <c r="X67" s="10" t="str">
        <f t="shared" si="76"/>
        <v/>
      </c>
      <c r="Y67" s="10" t="str">
        <f t="shared" si="76"/>
        <v/>
      </c>
      <c r="Z67" s="10" t="str">
        <f t="shared" si="76"/>
        <v/>
      </c>
      <c r="AA67" s="10" t="str">
        <f t="shared" si="76"/>
        <v/>
      </c>
      <c r="AB67" s="10" t="str">
        <f t="shared" si="76"/>
        <v/>
      </c>
      <c r="AC67" s="10" t="str">
        <f t="shared" si="76"/>
        <v/>
      </c>
      <c r="AD67" s="10" t="str">
        <f t="shared" si="76"/>
        <v/>
      </c>
      <c r="AE67" s="10" t="str">
        <f t="shared" si="76"/>
        <v/>
      </c>
      <c r="AF67" s="10" t="str">
        <f t="shared" si="76"/>
        <v/>
      </c>
      <c r="AG67" s="10" t="str">
        <f t="shared" si="76"/>
        <v/>
      </c>
      <c r="AH67" s="10" t="str">
        <f t="shared" si="76"/>
        <v/>
      </c>
      <c r="AI67" s="10" t="str">
        <f t="shared" si="76"/>
        <v/>
      </c>
      <c r="AJ67" s="10" t="str">
        <f t="shared" si="76"/>
        <v/>
      </c>
      <c r="AK67" s="10" t="str">
        <f t="shared" si="76"/>
        <v/>
      </c>
      <c r="AL67" s="10" t="str">
        <f t="shared" si="76"/>
        <v/>
      </c>
      <c r="AM67" s="10" t="str">
        <f t="shared" si="76"/>
        <v/>
      </c>
      <c r="AN67" s="10" t="str">
        <f t="shared" si="76"/>
        <v/>
      </c>
      <c r="AO67" s="10" t="str">
        <f t="shared" si="76"/>
        <v/>
      </c>
      <c r="AP67" s="10" t="str">
        <f t="shared" si="76"/>
        <v/>
      </c>
      <c r="AQ67" s="10" t="str">
        <f t="shared" si="76"/>
        <v/>
      </c>
      <c r="AR67" s="10" t="str">
        <f t="shared" si="76"/>
        <v/>
      </c>
      <c r="AS67" s="10" t="str">
        <f t="shared" si="76"/>
        <v/>
      </c>
      <c r="AT67" s="10" t="str">
        <f t="shared" si="76"/>
        <v/>
      </c>
      <c r="AU67" s="10" t="str">
        <f t="shared" si="76"/>
        <v/>
      </c>
      <c r="AV67" s="10" t="str">
        <f t="shared" si="76"/>
        <v/>
      </c>
      <c r="AW67" s="10" t="str">
        <f t="shared" si="76"/>
        <v/>
      </c>
      <c r="AX67" s="10" t="str">
        <f t="shared" si="76"/>
        <v/>
      </c>
      <c r="AY67" s="10" t="str">
        <f t="shared" si="76"/>
        <v/>
      </c>
      <c r="AZ67" s="10" t="str">
        <f t="shared" si="76"/>
        <v/>
      </c>
      <c r="BA67" s="10" t="str">
        <f t="shared" si="76"/>
        <v/>
      </c>
      <c r="BB67" s="10" t="str">
        <f t="shared" si="76"/>
        <v/>
      </c>
      <c r="BC67" s="10" t="str">
        <f t="shared" si="76"/>
        <v/>
      </c>
      <c r="BD67" s="10" t="str">
        <f t="shared" si="76"/>
        <v/>
      </c>
      <c r="BE67" s="10" t="str">
        <f t="shared" si="76"/>
        <v/>
      </c>
      <c r="BF67" s="10" t="str">
        <f t="shared" si="76"/>
        <v/>
      </c>
      <c r="BG67" s="10" t="str">
        <f t="shared" si="76"/>
        <v/>
      </c>
      <c r="BH67" s="10" t="str">
        <f t="shared" si="76"/>
        <v/>
      </c>
      <c r="BI67" s="10" t="str">
        <f t="shared" si="76"/>
        <v/>
      </c>
      <c r="BJ67" s="10" t="str">
        <f t="shared" si="76"/>
        <v/>
      </c>
      <c r="BK67" s="10" t="str">
        <f t="shared" si="76"/>
        <v/>
      </c>
      <c r="BL67" s="10" t="str">
        <f t="shared" si="76"/>
        <v/>
      </c>
      <c r="BM67" s="10" t="str">
        <f t="shared" si="76"/>
        <v/>
      </c>
      <c r="BN67" s="10" t="str">
        <f t="shared" si="76"/>
        <v/>
      </c>
      <c r="BO67" s="10" t="str">
        <f t="shared" si="76"/>
        <v/>
      </c>
      <c r="BP67" s="10" t="str">
        <f t="shared" si="76"/>
        <v/>
      </c>
      <c r="BQ67" s="10" t="str">
        <f t="shared" si="76"/>
        <v/>
      </c>
      <c r="BR67" s="10" t="str">
        <f t="shared" si="76"/>
        <v/>
      </c>
      <c r="BS67" s="10" t="str">
        <f t="shared" si="76"/>
        <v/>
      </c>
      <c r="BT67" s="10" t="str">
        <f t="shared" si="76"/>
        <v/>
      </c>
      <c r="BU67" s="10" t="str">
        <f t="shared" si="76"/>
        <v/>
      </c>
      <c r="BV67" s="10" t="str">
        <f t="shared" si="76"/>
        <v/>
      </c>
      <c r="BW67" s="10" t="str">
        <f t="shared" si="76"/>
        <v/>
      </c>
      <c r="BX67" s="10" t="str">
        <f t="shared" si="76"/>
        <v/>
      </c>
      <c r="BY67" s="10" t="str">
        <f t="shared" si="76"/>
        <v/>
      </c>
      <c r="BZ67" s="10" t="str">
        <f t="shared" si="76"/>
        <v/>
      </c>
      <c r="CA67" s="10" t="str">
        <f t="shared" si="76"/>
        <v/>
      </c>
      <c r="CB67" s="10" t="str">
        <f t="shared" si="76"/>
        <v/>
      </c>
      <c r="CC67" s="10" t="str">
        <f t="shared" si="76"/>
        <v/>
      </c>
      <c r="CD67" s="10" t="str">
        <f t="shared" si="76"/>
        <v/>
      </c>
      <c r="CE67" s="10" t="str">
        <f t="shared" si="76"/>
        <v/>
      </c>
      <c r="CF67" s="10" t="str">
        <f t="shared" si="76"/>
        <v/>
      </c>
      <c r="CG67" s="10" t="str">
        <f t="shared" si="76"/>
        <v/>
      </c>
      <c r="CH67" s="10" t="str">
        <f t="shared" si="76"/>
        <v/>
      </c>
      <c r="CI67" s="10" t="str">
        <f t="shared" si="76"/>
        <v/>
      </c>
      <c r="CJ67" s="10" t="str">
        <f t="shared" si="76"/>
        <v/>
      </c>
      <c r="CK67" s="10" t="str">
        <f t="shared" si="76"/>
        <v/>
      </c>
      <c r="CL67" s="10" t="str">
        <f t="shared" si="76"/>
        <v/>
      </c>
      <c r="CM67" s="10" t="str">
        <f t="shared" si="76"/>
        <v/>
      </c>
      <c r="CN67" s="10" t="str">
        <f t="shared" si="76"/>
        <v/>
      </c>
      <c r="CO67" s="10" t="str">
        <f t="shared" si="76"/>
        <v/>
      </c>
      <c r="CP67" s="10" t="str">
        <f t="shared" si="76"/>
        <v/>
      </c>
      <c r="CQ67" s="10" t="str">
        <f t="shared" si="76"/>
        <v/>
      </c>
      <c r="CR67" s="10" t="str">
        <f t="shared" si="76"/>
        <v/>
      </c>
      <c r="CS67" s="10" t="str">
        <f t="shared" si="76"/>
        <v/>
      </c>
      <c r="CT67" s="10" t="str">
        <f t="shared" si="76"/>
        <v/>
      </c>
      <c r="CU67" s="10" t="str">
        <f t="shared" si="76"/>
        <v/>
      </c>
      <c r="CV67" s="10" t="str">
        <f t="shared" si="76"/>
        <v/>
      </c>
      <c r="CW67" s="10" t="str">
        <f t="shared" si="76"/>
        <v/>
      </c>
      <c r="CX67" s="10" t="str">
        <f t="shared" si="76"/>
        <v/>
      </c>
      <c r="CY67" s="10" t="str">
        <f t="shared" si="76"/>
        <v/>
      </c>
      <c r="CZ67" s="10" t="str">
        <f t="shared" si="76"/>
        <v/>
      </c>
      <c r="DA67" s="10" t="str">
        <f t="shared" si="76"/>
        <v/>
      </c>
      <c r="DB67" s="10" t="str">
        <f t="shared" si="76"/>
        <v/>
      </c>
      <c r="DC67" s="10" t="str">
        <f t="shared" si="76"/>
        <v/>
      </c>
      <c r="DD67" s="10" t="str">
        <f t="shared" si="76"/>
        <v/>
      </c>
      <c r="DE67" s="10" t="str">
        <f t="shared" si="76"/>
        <v/>
      </c>
      <c r="DF67" s="10" t="str">
        <f t="shared" si="76"/>
        <v/>
      </c>
      <c r="DG67" s="10" t="str">
        <f t="shared" si="76"/>
        <v/>
      </c>
      <c r="DH67" s="10" t="str">
        <f t="shared" si="76"/>
        <v/>
      </c>
      <c r="DI67" s="10" t="str">
        <f t="shared" si="76"/>
        <v/>
      </c>
      <c r="DJ67" s="10" t="str">
        <f t="shared" si="76"/>
        <v/>
      </c>
    </row>
    <row r="68" spans="1:114" ht="13.5" customHeight="1">
      <c r="A68" s="1">
        <f>Gerenciamento!D68</f>
        <v>0</v>
      </c>
      <c r="B68" s="1" t="e">
        <f t="shared" si="2"/>
        <v>#VALUE!</v>
      </c>
      <c r="C68" s="2" t="e">
        <f t="shared" si="6"/>
        <v>#VALUE!</v>
      </c>
      <c r="D68" s="2" t="e">
        <f t="shared" si="7"/>
        <v>#VALUE!</v>
      </c>
      <c r="E68" s="2" t="e">
        <f t="shared" si="8"/>
        <v>#VALUE!</v>
      </c>
      <c r="F68" s="2" t="e">
        <f t="shared" si="9"/>
        <v>#VALUE!</v>
      </c>
      <c r="G68" s="5" t="e">
        <f t="shared" si="15"/>
        <v>#VALUE!</v>
      </c>
      <c r="H68" s="1" t="e">
        <f t="shared" si="10"/>
        <v>#VALUE!</v>
      </c>
      <c r="I68" s="1" t="e">
        <f t="shared" si="12"/>
        <v>#VALUE!</v>
      </c>
      <c r="J68" s="6" t="e">
        <f t="shared" si="3"/>
        <v>#VALUE!</v>
      </c>
      <c r="M68" s="9" t="b">
        <f t="shared" si="4"/>
        <v>0</v>
      </c>
      <c r="N68" s="10" t="e">
        <f t="shared" ref="N68:DJ68" si="77">IF(N$1&gt;$L$2,"",IF(N$1=$L$2,1,IF($L$2-N$1=$L$1-$M68,$L$3^($L$1-$M68),($L$3*N69*O69/(N69+($L$3-1)*O69)))))</f>
        <v>#DIV/0!</v>
      </c>
      <c r="O68" s="10" t="e">
        <f t="shared" si="77"/>
        <v>#DIV/0!</v>
      </c>
      <c r="P68" s="10">
        <f t="shared" si="77"/>
        <v>1</v>
      </c>
      <c r="Q68" s="10" t="str">
        <f t="shared" si="77"/>
        <v/>
      </c>
      <c r="R68" s="10" t="str">
        <f t="shared" si="77"/>
        <v/>
      </c>
      <c r="S68" s="10" t="str">
        <f t="shared" si="77"/>
        <v/>
      </c>
      <c r="T68" s="10" t="str">
        <f t="shared" si="77"/>
        <v/>
      </c>
      <c r="U68" s="10" t="str">
        <f t="shared" si="77"/>
        <v/>
      </c>
      <c r="V68" s="10" t="str">
        <f t="shared" si="77"/>
        <v/>
      </c>
      <c r="W68" s="10" t="str">
        <f t="shared" si="77"/>
        <v/>
      </c>
      <c r="X68" s="10" t="str">
        <f t="shared" si="77"/>
        <v/>
      </c>
      <c r="Y68" s="10" t="str">
        <f t="shared" si="77"/>
        <v/>
      </c>
      <c r="Z68" s="10" t="str">
        <f t="shared" si="77"/>
        <v/>
      </c>
      <c r="AA68" s="10" t="str">
        <f t="shared" si="77"/>
        <v/>
      </c>
      <c r="AB68" s="10" t="str">
        <f t="shared" si="77"/>
        <v/>
      </c>
      <c r="AC68" s="10" t="str">
        <f t="shared" si="77"/>
        <v/>
      </c>
      <c r="AD68" s="10" t="str">
        <f t="shared" si="77"/>
        <v/>
      </c>
      <c r="AE68" s="10" t="str">
        <f t="shared" si="77"/>
        <v/>
      </c>
      <c r="AF68" s="10" t="str">
        <f t="shared" si="77"/>
        <v/>
      </c>
      <c r="AG68" s="10" t="str">
        <f t="shared" si="77"/>
        <v/>
      </c>
      <c r="AH68" s="10" t="str">
        <f t="shared" si="77"/>
        <v/>
      </c>
      <c r="AI68" s="10" t="str">
        <f t="shared" si="77"/>
        <v/>
      </c>
      <c r="AJ68" s="10" t="str">
        <f t="shared" si="77"/>
        <v/>
      </c>
      <c r="AK68" s="10" t="str">
        <f t="shared" si="77"/>
        <v/>
      </c>
      <c r="AL68" s="10" t="str">
        <f t="shared" si="77"/>
        <v/>
      </c>
      <c r="AM68" s="10" t="str">
        <f t="shared" si="77"/>
        <v/>
      </c>
      <c r="AN68" s="10" t="str">
        <f t="shared" si="77"/>
        <v/>
      </c>
      <c r="AO68" s="10" t="str">
        <f t="shared" si="77"/>
        <v/>
      </c>
      <c r="AP68" s="10" t="str">
        <f t="shared" si="77"/>
        <v/>
      </c>
      <c r="AQ68" s="10" t="str">
        <f t="shared" si="77"/>
        <v/>
      </c>
      <c r="AR68" s="10" t="str">
        <f t="shared" si="77"/>
        <v/>
      </c>
      <c r="AS68" s="10" t="str">
        <f t="shared" si="77"/>
        <v/>
      </c>
      <c r="AT68" s="10" t="str">
        <f t="shared" si="77"/>
        <v/>
      </c>
      <c r="AU68" s="10" t="str">
        <f t="shared" si="77"/>
        <v/>
      </c>
      <c r="AV68" s="10" t="str">
        <f t="shared" si="77"/>
        <v/>
      </c>
      <c r="AW68" s="10" t="str">
        <f t="shared" si="77"/>
        <v/>
      </c>
      <c r="AX68" s="10" t="str">
        <f t="shared" si="77"/>
        <v/>
      </c>
      <c r="AY68" s="10" t="str">
        <f t="shared" si="77"/>
        <v/>
      </c>
      <c r="AZ68" s="10" t="str">
        <f t="shared" si="77"/>
        <v/>
      </c>
      <c r="BA68" s="10" t="str">
        <f t="shared" si="77"/>
        <v/>
      </c>
      <c r="BB68" s="10" t="str">
        <f t="shared" si="77"/>
        <v/>
      </c>
      <c r="BC68" s="10" t="str">
        <f t="shared" si="77"/>
        <v/>
      </c>
      <c r="BD68" s="10" t="str">
        <f t="shared" si="77"/>
        <v/>
      </c>
      <c r="BE68" s="10" t="str">
        <f t="shared" si="77"/>
        <v/>
      </c>
      <c r="BF68" s="10" t="str">
        <f t="shared" si="77"/>
        <v/>
      </c>
      <c r="BG68" s="10" t="str">
        <f t="shared" si="77"/>
        <v/>
      </c>
      <c r="BH68" s="10" t="str">
        <f t="shared" si="77"/>
        <v/>
      </c>
      <c r="BI68" s="10" t="str">
        <f t="shared" si="77"/>
        <v/>
      </c>
      <c r="BJ68" s="10" t="str">
        <f t="shared" si="77"/>
        <v/>
      </c>
      <c r="BK68" s="10" t="str">
        <f t="shared" si="77"/>
        <v/>
      </c>
      <c r="BL68" s="10" t="str">
        <f t="shared" si="77"/>
        <v/>
      </c>
      <c r="BM68" s="10" t="str">
        <f t="shared" si="77"/>
        <v/>
      </c>
      <c r="BN68" s="10" t="str">
        <f t="shared" si="77"/>
        <v/>
      </c>
      <c r="BO68" s="10" t="str">
        <f t="shared" si="77"/>
        <v/>
      </c>
      <c r="BP68" s="10" t="str">
        <f t="shared" si="77"/>
        <v/>
      </c>
      <c r="BQ68" s="10" t="str">
        <f t="shared" si="77"/>
        <v/>
      </c>
      <c r="BR68" s="10" t="str">
        <f t="shared" si="77"/>
        <v/>
      </c>
      <c r="BS68" s="10" t="str">
        <f t="shared" si="77"/>
        <v/>
      </c>
      <c r="BT68" s="10" t="str">
        <f t="shared" si="77"/>
        <v/>
      </c>
      <c r="BU68" s="10" t="str">
        <f t="shared" si="77"/>
        <v/>
      </c>
      <c r="BV68" s="10" t="str">
        <f t="shared" si="77"/>
        <v/>
      </c>
      <c r="BW68" s="10" t="str">
        <f t="shared" si="77"/>
        <v/>
      </c>
      <c r="BX68" s="10" t="str">
        <f t="shared" si="77"/>
        <v/>
      </c>
      <c r="BY68" s="10" t="str">
        <f t="shared" si="77"/>
        <v/>
      </c>
      <c r="BZ68" s="10" t="str">
        <f t="shared" si="77"/>
        <v/>
      </c>
      <c r="CA68" s="10" t="str">
        <f t="shared" si="77"/>
        <v/>
      </c>
      <c r="CB68" s="10" t="str">
        <f t="shared" si="77"/>
        <v/>
      </c>
      <c r="CC68" s="10" t="str">
        <f t="shared" si="77"/>
        <v/>
      </c>
      <c r="CD68" s="10" t="str">
        <f t="shared" si="77"/>
        <v/>
      </c>
      <c r="CE68" s="10" t="str">
        <f t="shared" si="77"/>
        <v/>
      </c>
      <c r="CF68" s="10" t="str">
        <f t="shared" si="77"/>
        <v/>
      </c>
      <c r="CG68" s="10" t="str">
        <f t="shared" si="77"/>
        <v/>
      </c>
      <c r="CH68" s="10" t="str">
        <f t="shared" si="77"/>
        <v/>
      </c>
      <c r="CI68" s="10" t="str">
        <f t="shared" si="77"/>
        <v/>
      </c>
      <c r="CJ68" s="10" t="str">
        <f t="shared" si="77"/>
        <v/>
      </c>
      <c r="CK68" s="10" t="str">
        <f t="shared" si="77"/>
        <v/>
      </c>
      <c r="CL68" s="10" t="str">
        <f t="shared" si="77"/>
        <v/>
      </c>
      <c r="CM68" s="10" t="str">
        <f t="shared" si="77"/>
        <v/>
      </c>
      <c r="CN68" s="10" t="str">
        <f t="shared" si="77"/>
        <v/>
      </c>
      <c r="CO68" s="10" t="str">
        <f t="shared" si="77"/>
        <v/>
      </c>
      <c r="CP68" s="10" t="str">
        <f t="shared" si="77"/>
        <v/>
      </c>
      <c r="CQ68" s="10" t="str">
        <f t="shared" si="77"/>
        <v/>
      </c>
      <c r="CR68" s="10" t="str">
        <f t="shared" si="77"/>
        <v/>
      </c>
      <c r="CS68" s="10" t="str">
        <f t="shared" si="77"/>
        <v/>
      </c>
      <c r="CT68" s="10" t="str">
        <f t="shared" si="77"/>
        <v/>
      </c>
      <c r="CU68" s="10" t="str">
        <f t="shared" si="77"/>
        <v/>
      </c>
      <c r="CV68" s="10" t="str">
        <f t="shared" si="77"/>
        <v/>
      </c>
      <c r="CW68" s="10" t="str">
        <f t="shared" si="77"/>
        <v/>
      </c>
      <c r="CX68" s="10" t="str">
        <f t="shared" si="77"/>
        <v/>
      </c>
      <c r="CY68" s="10" t="str">
        <f t="shared" si="77"/>
        <v/>
      </c>
      <c r="CZ68" s="10" t="str">
        <f t="shared" si="77"/>
        <v/>
      </c>
      <c r="DA68" s="10" t="str">
        <f t="shared" si="77"/>
        <v/>
      </c>
      <c r="DB68" s="10" t="str">
        <f t="shared" si="77"/>
        <v/>
      </c>
      <c r="DC68" s="10" t="str">
        <f t="shared" si="77"/>
        <v/>
      </c>
      <c r="DD68" s="10" t="str">
        <f t="shared" si="77"/>
        <v/>
      </c>
      <c r="DE68" s="10" t="str">
        <f t="shared" si="77"/>
        <v/>
      </c>
      <c r="DF68" s="10" t="str">
        <f t="shared" si="77"/>
        <v/>
      </c>
      <c r="DG68" s="10" t="str">
        <f t="shared" si="77"/>
        <v/>
      </c>
      <c r="DH68" s="10" t="str">
        <f t="shared" si="77"/>
        <v/>
      </c>
      <c r="DI68" s="10" t="str">
        <f t="shared" si="77"/>
        <v/>
      </c>
      <c r="DJ68" s="10" t="str">
        <f t="shared" si="77"/>
        <v/>
      </c>
    </row>
    <row r="69" spans="1:114" ht="13.5" customHeight="1">
      <c r="A69" s="1">
        <f>Gerenciamento!D69</f>
        <v>0</v>
      </c>
      <c r="B69" s="1" t="e">
        <f t="shared" si="2"/>
        <v>#VALUE!</v>
      </c>
      <c r="C69" s="2" t="e">
        <f t="shared" si="6"/>
        <v>#VALUE!</v>
      </c>
      <c r="D69" s="2" t="e">
        <f t="shared" si="7"/>
        <v>#VALUE!</v>
      </c>
      <c r="E69" s="2" t="e">
        <f t="shared" si="8"/>
        <v>#VALUE!</v>
      </c>
      <c r="F69" s="2" t="e">
        <f t="shared" si="9"/>
        <v>#VALUE!</v>
      </c>
      <c r="G69" s="5" t="e">
        <f t="shared" si="15"/>
        <v>#VALUE!</v>
      </c>
      <c r="H69" s="1" t="e">
        <f t="shared" si="10"/>
        <v>#VALUE!</v>
      </c>
      <c r="I69" s="1" t="e">
        <f t="shared" si="12"/>
        <v>#VALUE!</v>
      </c>
      <c r="J69" s="6" t="e">
        <f t="shared" si="3"/>
        <v>#VALUE!</v>
      </c>
      <c r="M69" s="9" t="b">
        <f t="shared" si="4"/>
        <v>0</v>
      </c>
      <c r="N69" s="10" t="e">
        <f t="shared" ref="N69:DJ69" si="78">IF(N$1&gt;$L$2,"",IF(N$1=$L$2,1,IF($L$2-N$1=$L$1-$M69,$L$3^($L$1-$M69),($L$3*N70*O70/(N70+($L$3-1)*O70)))))</f>
        <v>#DIV/0!</v>
      </c>
      <c r="O69" s="10" t="e">
        <f t="shared" si="78"/>
        <v>#DIV/0!</v>
      </c>
      <c r="P69" s="10">
        <f t="shared" si="78"/>
        <v>1</v>
      </c>
      <c r="Q69" s="10" t="str">
        <f t="shared" si="78"/>
        <v/>
      </c>
      <c r="R69" s="10" t="str">
        <f t="shared" si="78"/>
        <v/>
      </c>
      <c r="S69" s="10" t="str">
        <f t="shared" si="78"/>
        <v/>
      </c>
      <c r="T69" s="10" t="str">
        <f t="shared" si="78"/>
        <v/>
      </c>
      <c r="U69" s="10" t="str">
        <f t="shared" si="78"/>
        <v/>
      </c>
      <c r="V69" s="10" t="str">
        <f t="shared" si="78"/>
        <v/>
      </c>
      <c r="W69" s="10" t="str">
        <f t="shared" si="78"/>
        <v/>
      </c>
      <c r="X69" s="10" t="str">
        <f t="shared" si="78"/>
        <v/>
      </c>
      <c r="Y69" s="10" t="str">
        <f t="shared" si="78"/>
        <v/>
      </c>
      <c r="Z69" s="10" t="str">
        <f t="shared" si="78"/>
        <v/>
      </c>
      <c r="AA69" s="10" t="str">
        <f t="shared" si="78"/>
        <v/>
      </c>
      <c r="AB69" s="10" t="str">
        <f t="shared" si="78"/>
        <v/>
      </c>
      <c r="AC69" s="10" t="str">
        <f t="shared" si="78"/>
        <v/>
      </c>
      <c r="AD69" s="10" t="str">
        <f t="shared" si="78"/>
        <v/>
      </c>
      <c r="AE69" s="10" t="str">
        <f t="shared" si="78"/>
        <v/>
      </c>
      <c r="AF69" s="10" t="str">
        <f t="shared" si="78"/>
        <v/>
      </c>
      <c r="AG69" s="10" t="str">
        <f t="shared" si="78"/>
        <v/>
      </c>
      <c r="AH69" s="10" t="str">
        <f t="shared" si="78"/>
        <v/>
      </c>
      <c r="AI69" s="10" t="str">
        <f t="shared" si="78"/>
        <v/>
      </c>
      <c r="AJ69" s="10" t="str">
        <f t="shared" si="78"/>
        <v/>
      </c>
      <c r="AK69" s="10" t="str">
        <f t="shared" si="78"/>
        <v/>
      </c>
      <c r="AL69" s="10" t="str">
        <f t="shared" si="78"/>
        <v/>
      </c>
      <c r="AM69" s="10" t="str">
        <f t="shared" si="78"/>
        <v/>
      </c>
      <c r="AN69" s="10" t="str">
        <f t="shared" si="78"/>
        <v/>
      </c>
      <c r="AO69" s="10" t="str">
        <f t="shared" si="78"/>
        <v/>
      </c>
      <c r="AP69" s="10" t="str">
        <f t="shared" si="78"/>
        <v/>
      </c>
      <c r="AQ69" s="10" t="str">
        <f t="shared" si="78"/>
        <v/>
      </c>
      <c r="AR69" s="10" t="str">
        <f t="shared" si="78"/>
        <v/>
      </c>
      <c r="AS69" s="10" t="str">
        <f t="shared" si="78"/>
        <v/>
      </c>
      <c r="AT69" s="10" t="str">
        <f t="shared" si="78"/>
        <v/>
      </c>
      <c r="AU69" s="10" t="str">
        <f t="shared" si="78"/>
        <v/>
      </c>
      <c r="AV69" s="10" t="str">
        <f t="shared" si="78"/>
        <v/>
      </c>
      <c r="AW69" s="10" t="str">
        <f t="shared" si="78"/>
        <v/>
      </c>
      <c r="AX69" s="10" t="str">
        <f t="shared" si="78"/>
        <v/>
      </c>
      <c r="AY69" s="10" t="str">
        <f t="shared" si="78"/>
        <v/>
      </c>
      <c r="AZ69" s="10" t="str">
        <f t="shared" si="78"/>
        <v/>
      </c>
      <c r="BA69" s="10" t="str">
        <f t="shared" si="78"/>
        <v/>
      </c>
      <c r="BB69" s="10" t="str">
        <f t="shared" si="78"/>
        <v/>
      </c>
      <c r="BC69" s="10" t="str">
        <f t="shared" si="78"/>
        <v/>
      </c>
      <c r="BD69" s="10" t="str">
        <f t="shared" si="78"/>
        <v/>
      </c>
      <c r="BE69" s="10" t="str">
        <f t="shared" si="78"/>
        <v/>
      </c>
      <c r="BF69" s="10" t="str">
        <f t="shared" si="78"/>
        <v/>
      </c>
      <c r="BG69" s="10" t="str">
        <f t="shared" si="78"/>
        <v/>
      </c>
      <c r="BH69" s="10" t="str">
        <f t="shared" si="78"/>
        <v/>
      </c>
      <c r="BI69" s="10" t="str">
        <f t="shared" si="78"/>
        <v/>
      </c>
      <c r="BJ69" s="10" t="str">
        <f t="shared" si="78"/>
        <v/>
      </c>
      <c r="BK69" s="10" t="str">
        <f t="shared" si="78"/>
        <v/>
      </c>
      <c r="BL69" s="10" t="str">
        <f t="shared" si="78"/>
        <v/>
      </c>
      <c r="BM69" s="10" t="str">
        <f t="shared" si="78"/>
        <v/>
      </c>
      <c r="BN69" s="10" t="str">
        <f t="shared" si="78"/>
        <v/>
      </c>
      <c r="BO69" s="10" t="str">
        <f t="shared" si="78"/>
        <v/>
      </c>
      <c r="BP69" s="10" t="str">
        <f t="shared" si="78"/>
        <v/>
      </c>
      <c r="BQ69" s="10" t="str">
        <f t="shared" si="78"/>
        <v/>
      </c>
      <c r="BR69" s="10" t="str">
        <f t="shared" si="78"/>
        <v/>
      </c>
      <c r="BS69" s="10" t="str">
        <f t="shared" si="78"/>
        <v/>
      </c>
      <c r="BT69" s="10" t="str">
        <f t="shared" si="78"/>
        <v/>
      </c>
      <c r="BU69" s="10" t="str">
        <f t="shared" si="78"/>
        <v/>
      </c>
      <c r="BV69" s="10" t="str">
        <f t="shared" si="78"/>
        <v/>
      </c>
      <c r="BW69" s="10" t="str">
        <f t="shared" si="78"/>
        <v/>
      </c>
      <c r="BX69" s="10" t="str">
        <f t="shared" si="78"/>
        <v/>
      </c>
      <c r="BY69" s="10" t="str">
        <f t="shared" si="78"/>
        <v/>
      </c>
      <c r="BZ69" s="10" t="str">
        <f t="shared" si="78"/>
        <v/>
      </c>
      <c r="CA69" s="10" t="str">
        <f t="shared" si="78"/>
        <v/>
      </c>
      <c r="CB69" s="10" t="str">
        <f t="shared" si="78"/>
        <v/>
      </c>
      <c r="CC69" s="10" t="str">
        <f t="shared" si="78"/>
        <v/>
      </c>
      <c r="CD69" s="10" t="str">
        <f t="shared" si="78"/>
        <v/>
      </c>
      <c r="CE69" s="10" t="str">
        <f t="shared" si="78"/>
        <v/>
      </c>
      <c r="CF69" s="10" t="str">
        <f t="shared" si="78"/>
        <v/>
      </c>
      <c r="CG69" s="10" t="str">
        <f t="shared" si="78"/>
        <v/>
      </c>
      <c r="CH69" s="10" t="str">
        <f t="shared" si="78"/>
        <v/>
      </c>
      <c r="CI69" s="10" t="str">
        <f t="shared" si="78"/>
        <v/>
      </c>
      <c r="CJ69" s="10" t="str">
        <f t="shared" si="78"/>
        <v/>
      </c>
      <c r="CK69" s="10" t="str">
        <f t="shared" si="78"/>
        <v/>
      </c>
      <c r="CL69" s="10" t="str">
        <f t="shared" si="78"/>
        <v/>
      </c>
      <c r="CM69" s="10" t="str">
        <f t="shared" si="78"/>
        <v/>
      </c>
      <c r="CN69" s="10" t="str">
        <f t="shared" si="78"/>
        <v/>
      </c>
      <c r="CO69" s="10" t="str">
        <f t="shared" si="78"/>
        <v/>
      </c>
      <c r="CP69" s="10" t="str">
        <f t="shared" si="78"/>
        <v/>
      </c>
      <c r="CQ69" s="10" t="str">
        <f t="shared" si="78"/>
        <v/>
      </c>
      <c r="CR69" s="10" t="str">
        <f t="shared" si="78"/>
        <v/>
      </c>
      <c r="CS69" s="10" t="str">
        <f t="shared" si="78"/>
        <v/>
      </c>
      <c r="CT69" s="10" t="str">
        <f t="shared" si="78"/>
        <v/>
      </c>
      <c r="CU69" s="10" t="str">
        <f t="shared" si="78"/>
        <v/>
      </c>
      <c r="CV69" s="10" t="str">
        <f t="shared" si="78"/>
        <v/>
      </c>
      <c r="CW69" s="10" t="str">
        <f t="shared" si="78"/>
        <v/>
      </c>
      <c r="CX69" s="10" t="str">
        <f t="shared" si="78"/>
        <v/>
      </c>
      <c r="CY69" s="10" t="str">
        <f t="shared" si="78"/>
        <v/>
      </c>
      <c r="CZ69" s="10" t="str">
        <f t="shared" si="78"/>
        <v/>
      </c>
      <c r="DA69" s="10" t="str">
        <f t="shared" si="78"/>
        <v/>
      </c>
      <c r="DB69" s="10" t="str">
        <f t="shared" si="78"/>
        <v/>
      </c>
      <c r="DC69" s="10" t="str">
        <f t="shared" si="78"/>
        <v/>
      </c>
      <c r="DD69" s="10" t="str">
        <f t="shared" si="78"/>
        <v/>
      </c>
      <c r="DE69" s="10" t="str">
        <f t="shared" si="78"/>
        <v/>
      </c>
      <c r="DF69" s="10" t="str">
        <f t="shared" si="78"/>
        <v/>
      </c>
      <c r="DG69" s="10" t="str">
        <f t="shared" si="78"/>
        <v/>
      </c>
      <c r="DH69" s="10" t="str">
        <f t="shared" si="78"/>
        <v/>
      </c>
      <c r="DI69" s="10" t="str">
        <f t="shared" si="78"/>
        <v/>
      </c>
      <c r="DJ69" s="10" t="str">
        <f t="shared" si="78"/>
        <v/>
      </c>
    </row>
    <row r="70" spans="1:114" ht="13.5" customHeight="1">
      <c r="A70" s="1">
        <f>Gerenciamento!D70</f>
        <v>0</v>
      </c>
      <c r="B70" s="1" t="e">
        <f t="shared" si="2"/>
        <v>#VALUE!</v>
      </c>
      <c r="C70" s="2" t="e">
        <f t="shared" si="6"/>
        <v>#VALUE!</v>
      </c>
      <c r="D70" s="2" t="e">
        <f t="shared" si="7"/>
        <v>#VALUE!</v>
      </c>
      <c r="E70" s="2" t="e">
        <f t="shared" si="8"/>
        <v>#VALUE!</v>
      </c>
      <c r="F70" s="2" t="e">
        <f t="shared" si="9"/>
        <v>#VALUE!</v>
      </c>
      <c r="G70" s="5" t="e">
        <f t="shared" si="15"/>
        <v>#VALUE!</v>
      </c>
      <c r="H70" s="1" t="e">
        <f t="shared" si="10"/>
        <v>#VALUE!</v>
      </c>
      <c r="I70" s="1" t="e">
        <f t="shared" si="12"/>
        <v>#VALUE!</v>
      </c>
      <c r="J70" s="6" t="e">
        <f t="shared" si="3"/>
        <v>#VALUE!</v>
      </c>
      <c r="M70" s="9" t="b">
        <f t="shared" si="4"/>
        <v>0</v>
      </c>
      <c r="N70" s="10" t="e">
        <f t="shared" ref="N70:DJ70" si="79">IF(N$1&gt;$L$2,"",IF(N$1=$L$2,1,IF($L$2-N$1=$L$1-$M70,$L$3^($L$1-$M70),($L$3*N71*O71/(N71+($L$3-1)*O71)))))</f>
        <v>#DIV/0!</v>
      </c>
      <c r="O70" s="10" t="e">
        <f t="shared" si="79"/>
        <v>#DIV/0!</v>
      </c>
      <c r="P70" s="10">
        <f t="shared" si="79"/>
        <v>1</v>
      </c>
      <c r="Q70" s="10" t="str">
        <f t="shared" si="79"/>
        <v/>
      </c>
      <c r="R70" s="10" t="str">
        <f t="shared" si="79"/>
        <v/>
      </c>
      <c r="S70" s="10" t="str">
        <f t="shared" si="79"/>
        <v/>
      </c>
      <c r="T70" s="10" t="str">
        <f t="shared" si="79"/>
        <v/>
      </c>
      <c r="U70" s="10" t="str">
        <f t="shared" si="79"/>
        <v/>
      </c>
      <c r="V70" s="10" t="str">
        <f t="shared" si="79"/>
        <v/>
      </c>
      <c r="W70" s="10" t="str">
        <f t="shared" si="79"/>
        <v/>
      </c>
      <c r="X70" s="10" t="str">
        <f t="shared" si="79"/>
        <v/>
      </c>
      <c r="Y70" s="10" t="str">
        <f t="shared" si="79"/>
        <v/>
      </c>
      <c r="Z70" s="10" t="str">
        <f t="shared" si="79"/>
        <v/>
      </c>
      <c r="AA70" s="10" t="str">
        <f t="shared" si="79"/>
        <v/>
      </c>
      <c r="AB70" s="10" t="str">
        <f t="shared" si="79"/>
        <v/>
      </c>
      <c r="AC70" s="10" t="str">
        <f t="shared" si="79"/>
        <v/>
      </c>
      <c r="AD70" s="10" t="str">
        <f t="shared" si="79"/>
        <v/>
      </c>
      <c r="AE70" s="10" t="str">
        <f t="shared" si="79"/>
        <v/>
      </c>
      <c r="AF70" s="10" t="str">
        <f t="shared" si="79"/>
        <v/>
      </c>
      <c r="AG70" s="10" t="str">
        <f t="shared" si="79"/>
        <v/>
      </c>
      <c r="AH70" s="10" t="str">
        <f t="shared" si="79"/>
        <v/>
      </c>
      <c r="AI70" s="10" t="str">
        <f t="shared" si="79"/>
        <v/>
      </c>
      <c r="AJ70" s="10" t="str">
        <f t="shared" si="79"/>
        <v/>
      </c>
      <c r="AK70" s="10" t="str">
        <f t="shared" si="79"/>
        <v/>
      </c>
      <c r="AL70" s="10" t="str">
        <f t="shared" si="79"/>
        <v/>
      </c>
      <c r="AM70" s="10" t="str">
        <f t="shared" si="79"/>
        <v/>
      </c>
      <c r="AN70" s="10" t="str">
        <f t="shared" si="79"/>
        <v/>
      </c>
      <c r="AO70" s="10" t="str">
        <f t="shared" si="79"/>
        <v/>
      </c>
      <c r="AP70" s="10" t="str">
        <f t="shared" si="79"/>
        <v/>
      </c>
      <c r="AQ70" s="10" t="str">
        <f t="shared" si="79"/>
        <v/>
      </c>
      <c r="AR70" s="10" t="str">
        <f t="shared" si="79"/>
        <v/>
      </c>
      <c r="AS70" s="10" t="str">
        <f t="shared" si="79"/>
        <v/>
      </c>
      <c r="AT70" s="10" t="str">
        <f t="shared" si="79"/>
        <v/>
      </c>
      <c r="AU70" s="10" t="str">
        <f t="shared" si="79"/>
        <v/>
      </c>
      <c r="AV70" s="10" t="str">
        <f t="shared" si="79"/>
        <v/>
      </c>
      <c r="AW70" s="10" t="str">
        <f t="shared" si="79"/>
        <v/>
      </c>
      <c r="AX70" s="10" t="str">
        <f t="shared" si="79"/>
        <v/>
      </c>
      <c r="AY70" s="10" t="str">
        <f t="shared" si="79"/>
        <v/>
      </c>
      <c r="AZ70" s="10" t="str">
        <f t="shared" si="79"/>
        <v/>
      </c>
      <c r="BA70" s="10" t="str">
        <f t="shared" si="79"/>
        <v/>
      </c>
      <c r="BB70" s="10" t="str">
        <f t="shared" si="79"/>
        <v/>
      </c>
      <c r="BC70" s="10" t="str">
        <f t="shared" si="79"/>
        <v/>
      </c>
      <c r="BD70" s="10" t="str">
        <f t="shared" si="79"/>
        <v/>
      </c>
      <c r="BE70" s="10" t="str">
        <f t="shared" si="79"/>
        <v/>
      </c>
      <c r="BF70" s="10" t="str">
        <f t="shared" si="79"/>
        <v/>
      </c>
      <c r="BG70" s="10" t="str">
        <f t="shared" si="79"/>
        <v/>
      </c>
      <c r="BH70" s="10" t="str">
        <f t="shared" si="79"/>
        <v/>
      </c>
      <c r="BI70" s="10" t="str">
        <f t="shared" si="79"/>
        <v/>
      </c>
      <c r="BJ70" s="10" t="str">
        <f t="shared" si="79"/>
        <v/>
      </c>
      <c r="BK70" s="10" t="str">
        <f t="shared" si="79"/>
        <v/>
      </c>
      <c r="BL70" s="10" t="str">
        <f t="shared" si="79"/>
        <v/>
      </c>
      <c r="BM70" s="10" t="str">
        <f t="shared" si="79"/>
        <v/>
      </c>
      <c r="BN70" s="10" t="str">
        <f t="shared" si="79"/>
        <v/>
      </c>
      <c r="BO70" s="10" t="str">
        <f t="shared" si="79"/>
        <v/>
      </c>
      <c r="BP70" s="10" t="str">
        <f t="shared" si="79"/>
        <v/>
      </c>
      <c r="BQ70" s="10" t="str">
        <f t="shared" si="79"/>
        <v/>
      </c>
      <c r="BR70" s="10" t="str">
        <f t="shared" si="79"/>
        <v/>
      </c>
      <c r="BS70" s="10" t="str">
        <f t="shared" si="79"/>
        <v/>
      </c>
      <c r="BT70" s="10" t="str">
        <f t="shared" si="79"/>
        <v/>
      </c>
      <c r="BU70" s="10" t="str">
        <f t="shared" si="79"/>
        <v/>
      </c>
      <c r="BV70" s="10" t="str">
        <f t="shared" si="79"/>
        <v/>
      </c>
      <c r="BW70" s="10" t="str">
        <f t="shared" si="79"/>
        <v/>
      </c>
      <c r="BX70" s="10" t="str">
        <f t="shared" si="79"/>
        <v/>
      </c>
      <c r="BY70" s="10" t="str">
        <f t="shared" si="79"/>
        <v/>
      </c>
      <c r="BZ70" s="10" t="str">
        <f t="shared" si="79"/>
        <v/>
      </c>
      <c r="CA70" s="10" t="str">
        <f t="shared" si="79"/>
        <v/>
      </c>
      <c r="CB70" s="10" t="str">
        <f t="shared" si="79"/>
        <v/>
      </c>
      <c r="CC70" s="10" t="str">
        <f t="shared" si="79"/>
        <v/>
      </c>
      <c r="CD70" s="10" t="str">
        <f t="shared" si="79"/>
        <v/>
      </c>
      <c r="CE70" s="10" t="str">
        <f t="shared" si="79"/>
        <v/>
      </c>
      <c r="CF70" s="10" t="str">
        <f t="shared" si="79"/>
        <v/>
      </c>
      <c r="CG70" s="10" t="str">
        <f t="shared" si="79"/>
        <v/>
      </c>
      <c r="CH70" s="10" t="str">
        <f t="shared" si="79"/>
        <v/>
      </c>
      <c r="CI70" s="10" t="str">
        <f t="shared" si="79"/>
        <v/>
      </c>
      <c r="CJ70" s="10" t="str">
        <f t="shared" si="79"/>
        <v/>
      </c>
      <c r="CK70" s="10" t="str">
        <f t="shared" si="79"/>
        <v/>
      </c>
      <c r="CL70" s="10" t="str">
        <f t="shared" si="79"/>
        <v/>
      </c>
      <c r="CM70" s="10" t="str">
        <f t="shared" si="79"/>
        <v/>
      </c>
      <c r="CN70" s="10" t="str">
        <f t="shared" si="79"/>
        <v/>
      </c>
      <c r="CO70" s="10" t="str">
        <f t="shared" si="79"/>
        <v/>
      </c>
      <c r="CP70" s="10" t="str">
        <f t="shared" si="79"/>
        <v/>
      </c>
      <c r="CQ70" s="10" t="str">
        <f t="shared" si="79"/>
        <v/>
      </c>
      <c r="CR70" s="10" t="str">
        <f t="shared" si="79"/>
        <v/>
      </c>
      <c r="CS70" s="10" t="str">
        <f t="shared" si="79"/>
        <v/>
      </c>
      <c r="CT70" s="10" t="str">
        <f t="shared" si="79"/>
        <v/>
      </c>
      <c r="CU70" s="10" t="str">
        <f t="shared" si="79"/>
        <v/>
      </c>
      <c r="CV70" s="10" t="str">
        <f t="shared" si="79"/>
        <v/>
      </c>
      <c r="CW70" s="10" t="str">
        <f t="shared" si="79"/>
        <v/>
      </c>
      <c r="CX70" s="10" t="str">
        <f t="shared" si="79"/>
        <v/>
      </c>
      <c r="CY70" s="10" t="str">
        <f t="shared" si="79"/>
        <v/>
      </c>
      <c r="CZ70" s="10" t="str">
        <f t="shared" si="79"/>
        <v/>
      </c>
      <c r="DA70" s="10" t="str">
        <f t="shared" si="79"/>
        <v/>
      </c>
      <c r="DB70" s="10" t="str">
        <f t="shared" si="79"/>
        <v/>
      </c>
      <c r="DC70" s="10" t="str">
        <f t="shared" si="79"/>
        <v/>
      </c>
      <c r="DD70" s="10" t="str">
        <f t="shared" si="79"/>
        <v/>
      </c>
      <c r="DE70" s="10" t="str">
        <f t="shared" si="79"/>
        <v/>
      </c>
      <c r="DF70" s="10" t="str">
        <f t="shared" si="79"/>
        <v/>
      </c>
      <c r="DG70" s="10" t="str">
        <f t="shared" si="79"/>
        <v/>
      </c>
      <c r="DH70" s="10" t="str">
        <f t="shared" si="79"/>
        <v/>
      </c>
      <c r="DI70" s="10" t="str">
        <f t="shared" si="79"/>
        <v/>
      </c>
      <c r="DJ70" s="10" t="str">
        <f t="shared" si="79"/>
        <v/>
      </c>
    </row>
    <row r="71" spans="1:114" ht="13.5" customHeight="1">
      <c r="A71" s="1">
        <f>Gerenciamento!D71</f>
        <v>0</v>
      </c>
      <c r="B71" s="1" t="e">
        <f t="shared" si="2"/>
        <v>#VALUE!</v>
      </c>
      <c r="C71" s="2" t="e">
        <f t="shared" si="6"/>
        <v>#VALUE!</v>
      </c>
      <c r="D71" s="2" t="e">
        <f t="shared" si="7"/>
        <v>#VALUE!</v>
      </c>
      <c r="E71" s="2" t="e">
        <f t="shared" si="8"/>
        <v>#VALUE!</v>
      </c>
      <c r="F71" s="2" t="e">
        <f t="shared" si="9"/>
        <v>#VALUE!</v>
      </c>
      <c r="G71" s="5" t="e">
        <f t="shared" si="15"/>
        <v>#VALUE!</v>
      </c>
      <c r="H71" s="1" t="e">
        <f t="shared" si="10"/>
        <v>#VALUE!</v>
      </c>
      <c r="I71" s="1" t="e">
        <f t="shared" si="12"/>
        <v>#VALUE!</v>
      </c>
      <c r="J71" s="6" t="e">
        <f t="shared" si="3"/>
        <v>#VALUE!</v>
      </c>
      <c r="M71" s="9" t="b">
        <f t="shared" si="4"/>
        <v>0</v>
      </c>
      <c r="N71" s="10" t="e">
        <f t="shared" ref="N71:DJ71" si="80">IF(N$1&gt;$L$2,"",IF(N$1=$L$2,1,IF($L$2-N$1=$L$1-$M71,$L$3^($L$1-$M71),($L$3*N72*O72/(N72+($L$3-1)*O72)))))</f>
        <v>#DIV/0!</v>
      </c>
      <c r="O71" s="10" t="e">
        <f t="shared" si="80"/>
        <v>#DIV/0!</v>
      </c>
      <c r="P71" s="10">
        <f t="shared" si="80"/>
        <v>1</v>
      </c>
      <c r="Q71" s="10" t="str">
        <f t="shared" si="80"/>
        <v/>
      </c>
      <c r="R71" s="10" t="str">
        <f t="shared" si="80"/>
        <v/>
      </c>
      <c r="S71" s="10" t="str">
        <f t="shared" si="80"/>
        <v/>
      </c>
      <c r="T71" s="10" t="str">
        <f t="shared" si="80"/>
        <v/>
      </c>
      <c r="U71" s="10" t="str">
        <f t="shared" si="80"/>
        <v/>
      </c>
      <c r="V71" s="10" t="str">
        <f t="shared" si="80"/>
        <v/>
      </c>
      <c r="W71" s="10" t="str">
        <f t="shared" si="80"/>
        <v/>
      </c>
      <c r="X71" s="10" t="str">
        <f t="shared" si="80"/>
        <v/>
      </c>
      <c r="Y71" s="10" t="str">
        <f t="shared" si="80"/>
        <v/>
      </c>
      <c r="Z71" s="10" t="str">
        <f t="shared" si="80"/>
        <v/>
      </c>
      <c r="AA71" s="10" t="str">
        <f t="shared" si="80"/>
        <v/>
      </c>
      <c r="AB71" s="10" t="str">
        <f t="shared" si="80"/>
        <v/>
      </c>
      <c r="AC71" s="10" t="str">
        <f t="shared" si="80"/>
        <v/>
      </c>
      <c r="AD71" s="10" t="str">
        <f t="shared" si="80"/>
        <v/>
      </c>
      <c r="AE71" s="10" t="str">
        <f t="shared" si="80"/>
        <v/>
      </c>
      <c r="AF71" s="10" t="str">
        <f t="shared" si="80"/>
        <v/>
      </c>
      <c r="AG71" s="10" t="str">
        <f t="shared" si="80"/>
        <v/>
      </c>
      <c r="AH71" s="10" t="str">
        <f t="shared" si="80"/>
        <v/>
      </c>
      <c r="AI71" s="10" t="str">
        <f t="shared" si="80"/>
        <v/>
      </c>
      <c r="AJ71" s="10" t="str">
        <f t="shared" si="80"/>
        <v/>
      </c>
      <c r="AK71" s="10" t="str">
        <f t="shared" si="80"/>
        <v/>
      </c>
      <c r="AL71" s="10" t="str">
        <f t="shared" si="80"/>
        <v/>
      </c>
      <c r="AM71" s="10" t="str">
        <f t="shared" si="80"/>
        <v/>
      </c>
      <c r="AN71" s="10" t="str">
        <f t="shared" si="80"/>
        <v/>
      </c>
      <c r="AO71" s="10" t="str">
        <f t="shared" si="80"/>
        <v/>
      </c>
      <c r="AP71" s="10" t="str">
        <f t="shared" si="80"/>
        <v/>
      </c>
      <c r="AQ71" s="10" t="str">
        <f t="shared" si="80"/>
        <v/>
      </c>
      <c r="AR71" s="10" t="str">
        <f t="shared" si="80"/>
        <v/>
      </c>
      <c r="AS71" s="10" t="str">
        <f t="shared" si="80"/>
        <v/>
      </c>
      <c r="AT71" s="10" t="str">
        <f t="shared" si="80"/>
        <v/>
      </c>
      <c r="AU71" s="10" t="str">
        <f t="shared" si="80"/>
        <v/>
      </c>
      <c r="AV71" s="10" t="str">
        <f t="shared" si="80"/>
        <v/>
      </c>
      <c r="AW71" s="10" t="str">
        <f t="shared" si="80"/>
        <v/>
      </c>
      <c r="AX71" s="10" t="str">
        <f t="shared" si="80"/>
        <v/>
      </c>
      <c r="AY71" s="10" t="str">
        <f t="shared" si="80"/>
        <v/>
      </c>
      <c r="AZ71" s="10" t="str">
        <f t="shared" si="80"/>
        <v/>
      </c>
      <c r="BA71" s="10" t="str">
        <f t="shared" si="80"/>
        <v/>
      </c>
      <c r="BB71" s="10" t="str">
        <f t="shared" si="80"/>
        <v/>
      </c>
      <c r="BC71" s="10" t="str">
        <f t="shared" si="80"/>
        <v/>
      </c>
      <c r="BD71" s="10" t="str">
        <f t="shared" si="80"/>
        <v/>
      </c>
      <c r="BE71" s="10" t="str">
        <f t="shared" si="80"/>
        <v/>
      </c>
      <c r="BF71" s="10" t="str">
        <f t="shared" si="80"/>
        <v/>
      </c>
      <c r="BG71" s="10" t="str">
        <f t="shared" si="80"/>
        <v/>
      </c>
      <c r="BH71" s="10" t="str">
        <f t="shared" si="80"/>
        <v/>
      </c>
      <c r="BI71" s="10" t="str">
        <f t="shared" si="80"/>
        <v/>
      </c>
      <c r="BJ71" s="10" t="str">
        <f t="shared" si="80"/>
        <v/>
      </c>
      <c r="BK71" s="10" t="str">
        <f t="shared" si="80"/>
        <v/>
      </c>
      <c r="BL71" s="10" t="str">
        <f t="shared" si="80"/>
        <v/>
      </c>
      <c r="BM71" s="10" t="str">
        <f t="shared" si="80"/>
        <v/>
      </c>
      <c r="BN71" s="10" t="str">
        <f t="shared" si="80"/>
        <v/>
      </c>
      <c r="BO71" s="10" t="str">
        <f t="shared" si="80"/>
        <v/>
      </c>
      <c r="BP71" s="10" t="str">
        <f t="shared" si="80"/>
        <v/>
      </c>
      <c r="BQ71" s="10" t="str">
        <f t="shared" si="80"/>
        <v/>
      </c>
      <c r="BR71" s="10" t="str">
        <f t="shared" si="80"/>
        <v/>
      </c>
      <c r="BS71" s="10" t="str">
        <f t="shared" si="80"/>
        <v/>
      </c>
      <c r="BT71" s="10" t="str">
        <f t="shared" si="80"/>
        <v/>
      </c>
      <c r="BU71" s="10" t="str">
        <f t="shared" si="80"/>
        <v/>
      </c>
      <c r="BV71" s="10" t="str">
        <f t="shared" si="80"/>
        <v/>
      </c>
      <c r="BW71" s="10" t="str">
        <f t="shared" si="80"/>
        <v/>
      </c>
      <c r="BX71" s="10" t="str">
        <f t="shared" si="80"/>
        <v/>
      </c>
      <c r="BY71" s="10" t="str">
        <f t="shared" si="80"/>
        <v/>
      </c>
      <c r="BZ71" s="10" t="str">
        <f t="shared" si="80"/>
        <v/>
      </c>
      <c r="CA71" s="10" t="str">
        <f t="shared" si="80"/>
        <v/>
      </c>
      <c r="CB71" s="10" t="str">
        <f t="shared" si="80"/>
        <v/>
      </c>
      <c r="CC71" s="10" t="str">
        <f t="shared" si="80"/>
        <v/>
      </c>
      <c r="CD71" s="10" t="str">
        <f t="shared" si="80"/>
        <v/>
      </c>
      <c r="CE71" s="10" t="str">
        <f t="shared" si="80"/>
        <v/>
      </c>
      <c r="CF71" s="10" t="str">
        <f t="shared" si="80"/>
        <v/>
      </c>
      <c r="CG71" s="10" t="str">
        <f t="shared" si="80"/>
        <v/>
      </c>
      <c r="CH71" s="10" t="str">
        <f t="shared" si="80"/>
        <v/>
      </c>
      <c r="CI71" s="10" t="str">
        <f t="shared" si="80"/>
        <v/>
      </c>
      <c r="CJ71" s="10" t="str">
        <f t="shared" si="80"/>
        <v/>
      </c>
      <c r="CK71" s="10" t="str">
        <f t="shared" si="80"/>
        <v/>
      </c>
      <c r="CL71" s="10" t="str">
        <f t="shared" si="80"/>
        <v/>
      </c>
      <c r="CM71" s="10" t="str">
        <f t="shared" si="80"/>
        <v/>
      </c>
      <c r="CN71" s="10" t="str">
        <f t="shared" si="80"/>
        <v/>
      </c>
      <c r="CO71" s="10" t="str">
        <f t="shared" si="80"/>
        <v/>
      </c>
      <c r="CP71" s="10" t="str">
        <f t="shared" si="80"/>
        <v/>
      </c>
      <c r="CQ71" s="10" t="str">
        <f t="shared" si="80"/>
        <v/>
      </c>
      <c r="CR71" s="10" t="str">
        <f t="shared" si="80"/>
        <v/>
      </c>
      <c r="CS71" s="10" t="str">
        <f t="shared" si="80"/>
        <v/>
      </c>
      <c r="CT71" s="10" t="str">
        <f t="shared" si="80"/>
        <v/>
      </c>
      <c r="CU71" s="10" t="str">
        <f t="shared" si="80"/>
        <v/>
      </c>
      <c r="CV71" s="10" t="str">
        <f t="shared" si="80"/>
        <v/>
      </c>
      <c r="CW71" s="10" t="str">
        <f t="shared" si="80"/>
        <v/>
      </c>
      <c r="CX71" s="10" t="str">
        <f t="shared" si="80"/>
        <v/>
      </c>
      <c r="CY71" s="10" t="str">
        <f t="shared" si="80"/>
        <v/>
      </c>
      <c r="CZ71" s="10" t="str">
        <f t="shared" si="80"/>
        <v/>
      </c>
      <c r="DA71" s="10" t="str">
        <f t="shared" si="80"/>
        <v/>
      </c>
      <c r="DB71" s="10" t="str">
        <f t="shared" si="80"/>
        <v/>
      </c>
      <c r="DC71" s="10" t="str">
        <f t="shared" si="80"/>
        <v/>
      </c>
      <c r="DD71" s="10" t="str">
        <f t="shared" si="80"/>
        <v/>
      </c>
      <c r="DE71" s="10" t="str">
        <f t="shared" si="80"/>
        <v/>
      </c>
      <c r="DF71" s="10" t="str">
        <f t="shared" si="80"/>
        <v/>
      </c>
      <c r="DG71" s="10" t="str">
        <f t="shared" si="80"/>
        <v/>
      </c>
      <c r="DH71" s="10" t="str">
        <f t="shared" si="80"/>
        <v/>
      </c>
      <c r="DI71" s="10" t="str">
        <f t="shared" si="80"/>
        <v/>
      </c>
      <c r="DJ71" s="10" t="str">
        <f t="shared" si="80"/>
        <v/>
      </c>
    </row>
    <row r="72" spans="1:114" ht="13.5" customHeight="1">
      <c r="A72" s="1">
        <f>Gerenciamento!D72</f>
        <v>0</v>
      </c>
      <c r="B72" s="1" t="e">
        <f t="shared" si="2"/>
        <v>#VALUE!</v>
      </c>
      <c r="C72" s="2" t="e">
        <f t="shared" si="6"/>
        <v>#VALUE!</v>
      </c>
      <c r="D72" s="2" t="e">
        <f t="shared" si="7"/>
        <v>#VALUE!</v>
      </c>
      <c r="E72" s="2" t="e">
        <f t="shared" si="8"/>
        <v>#VALUE!</v>
      </c>
      <c r="F72" s="2" t="e">
        <f t="shared" si="9"/>
        <v>#VALUE!</v>
      </c>
      <c r="G72" s="5" t="e">
        <f t="shared" si="15"/>
        <v>#VALUE!</v>
      </c>
      <c r="H72" s="1" t="e">
        <f t="shared" si="10"/>
        <v>#VALUE!</v>
      </c>
      <c r="I72" s="1" t="e">
        <f t="shared" si="12"/>
        <v>#VALUE!</v>
      </c>
      <c r="J72" s="6" t="e">
        <f t="shared" si="3"/>
        <v>#VALUE!</v>
      </c>
      <c r="M72" s="9" t="b">
        <f t="shared" si="4"/>
        <v>0</v>
      </c>
      <c r="N72" s="10" t="e">
        <f t="shared" ref="N72:DJ72" si="81">IF(N$1&gt;$L$2,"",IF(N$1=$L$2,1,IF($L$2-N$1=$L$1-$M72,$L$3^($L$1-$M72),($L$3*N73*O73/(N73+($L$3-1)*O73)))))</f>
        <v>#DIV/0!</v>
      </c>
      <c r="O72" s="10" t="e">
        <f t="shared" si="81"/>
        <v>#DIV/0!</v>
      </c>
      <c r="P72" s="10">
        <f t="shared" si="81"/>
        <v>1</v>
      </c>
      <c r="Q72" s="10" t="str">
        <f t="shared" si="81"/>
        <v/>
      </c>
      <c r="R72" s="10" t="str">
        <f t="shared" si="81"/>
        <v/>
      </c>
      <c r="S72" s="10" t="str">
        <f t="shared" si="81"/>
        <v/>
      </c>
      <c r="T72" s="10" t="str">
        <f t="shared" si="81"/>
        <v/>
      </c>
      <c r="U72" s="10" t="str">
        <f t="shared" si="81"/>
        <v/>
      </c>
      <c r="V72" s="10" t="str">
        <f t="shared" si="81"/>
        <v/>
      </c>
      <c r="W72" s="10" t="str">
        <f t="shared" si="81"/>
        <v/>
      </c>
      <c r="X72" s="10" t="str">
        <f t="shared" si="81"/>
        <v/>
      </c>
      <c r="Y72" s="10" t="str">
        <f t="shared" si="81"/>
        <v/>
      </c>
      <c r="Z72" s="10" t="str">
        <f t="shared" si="81"/>
        <v/>
      </c>
      <c r="AA72" s="10" t="str">
        <f t="shared" si="81"/>
        <v/>
      </c>
      <c r="AB72" s="10" t="str">
        <f t="shared" si="81"/>
        <v/>
      </c>
      <c r="AC72" s="10" t="str">
        <f t="shared" si="81"/>
        <v/>
      </c>
      <c r="AD72" s="10" t="str">
        <f t="shared" si="81"/>
        <v/>
      </c>
      <c r="AE72" s="10" t="str">
        <f t="shared" si="81"/>
        <v/>
      </c>
      <c r="AF72" s="10" t="str">
        <f t="shared" si="81"/>
        <v/>
      </c>
      <c r="AG72" s="10" t="str">
        <f t="shared" si="81"/>
        <v/>
      </c>
      <c r="AH72" s="10" t="str">
        <f t="shared" si="81"/>
        <v/>
      </c>
      <c r="AI72" s="10" t="str">
        <f t="shared" si="81"/>
        <v/>
      </c>
      <c r="AJ72" s="10" t="str">
        <f t="shared" si="81"/>
        <v/>
      </c>
      <c r="AK72" s="10" t="str">
        <f t="shared" si="81"/>
        <v/>
      </c>
      <c r="AL72" s="10" t="str">
        <f t="shared" si="81"/>
        <v/>
      </c>
      <c r="AM72" s="10" t="str">
        <f t="shared" si="81"/>
        <v/>
      </c>
      <c r="AN72" s="10" t="str">
        <f t="shared" si="81"/>
        <v/>
      </c>
      <c r="AO72" s="10" t="str">
        <f t="shared" si="81"/>
        <v/>
      </c>
      <c r="AP72" s="10" t="str">
        <f t="shared" si="81"/>
        <v/>
      </c>
      <c r="AQ72" s="10" t="str">
        <f t="shared" si="81"/>
        <v/>
      </c>
      <c r="AR72" s="10" t="str">
        <f t="shared" si="81"/>
        <v/>
      </c>
      <c r="AS72" s="10" t="str">
        <f t="shared" si="81"/>
        <v/>
      </c>
      <c r="AT72" s="10" t="str">
        <f t="shared" si="81"/>
        <v/>
      </c>
      <c r="AU72" s="10" t="str">
        <f t="shared" si="81"/>
        <v/>
      </c>
      <c r="AV72" s="10" t="str">
        <f t="shared" si="81"/>
        <v/>
      </c>
      <c r="AW72" s="10" t="str">
        <f t="shared" si="81"/>
        <v/>
      </c>
      <c r="AX72" s="10" t="str">
        <f t="shared" si="81"/>
        <v/>
      </c>
      <c r="AY72" s="10" t="str">
        <f t="shared" si="81"/>
        <v/>
      </c>
      <c r="AZ72" s="10" t="str">
        <f t="shared" si="81"/>
        <v/>
      </c>
      <c r="BA72" s="10" t="str">
        <f t="shared" si="81"/>
        <v/>
      </c>
      <c r="BB72" s="10" t="str">
        <f t="shared" si="81"/>
        <v/>
      </c>
      <c r="BC72" s="10" t="str">
        <f t="shared" si="81"/>
        <v/>
      </c>
      <c r="BD72" s="10" t="str">
        <f t="shared" si="81"/>
        <v/>
      </c>
      <c r="BE72" s="10" t="str">
        <f t="shared" si="81"/>
        <v/>
      </c>
      <c r="BF72" s="10" t="str">
        <f t="shared" si="81"/>
        <v/>
      </c>
      <c r="BG72" s="10" t="str">
        <f t="shared" si="81"/>
        <v/>
      </c>
      <c r="BH72" s="10" t="str">
        <f t="shared" si="81"/>
        <v/>
      </c>
      <c r="BI72" s="10" t="str">
        <f t="shared" si="81"/>
        <v/>
      </c>
      <c r="BJ72" s="10" t="str">
        <f t="shared" si="81"/>
        <v/>
      </c>
      <c r="BK72" s="10" t="str">
        <f t="shared" si="81"/>
        <v/>
      </c>
      <c r="BL72" s="10" t="str">
        <f t="shared" si="81"/>
        <v/>
      </c>
      <c r="BM72" s="10" t="str">
        <f t="shared" si="81"/>
        <v/>
      </c>
      <c r="BN72" s="10" t="str">
        <f t="shared" si="81"/>
        <v/>
      </c>
      <c r="BO72" s="10" t="str">
        <f t="shared" si="81"/>
        <v/>
      </c>
      <c r="BP72" s="10" t="str">
        <f t="shared" si="81"/>
        <v/>
      </c>
      <c r="BQ72" s="10" t="str">
        <f t="shared" si="81"/>
        <v/>
      </c>
      <c r="BR72" s="10" t="str">
        <f t="shared" si="81"/>
        <v/>
      </c>
      <c r="BS72" s="10" t="str">
        <f t="shared" si="81"/>
        <v/>
      </c>
      <c r="BT72" s="10" t="str">
        <f t="shared" si="81"/>
        <v/>
      </c>
      <c r="BU72" s="10" t="str">
        <f t="shared" si="81"/>
        <v/>
      </c>
      <c r="BV72" s="10" t="str">
        <f t="shared" si="81"/>
        <v/>
      </c>
      <c r="BW72" s="10" t="str">
        <f t="shared" si="81"/>
        <v/>
      </c>
      <c r="BX72" s="10" t="str">
        <f t="shared" si="81"/>
        <v/>
      </c>
      <c r="BY72" s="10" t="str">
        <f t="shared" si="81"/>
        <v/>
      </c>
      <c r="BZ72" s="10" t="str">
        <f t="shared" si="81"/>
        <v/>
      </c>
      <c r="CA72" s="10" t="str">
        <f t="shared" si="81"/>
        <v/>
      </c>
      <c r="CB72" s="10" t="str">
        <f t="shared" si="81"/>
        <v/>
      </c>
      <c r="CC72" s="10" t="str">
        <f t="shared" si="81"/>
        <v/>
      </c>
      <c r="CD72" s="10" t="str">
        <f t="shared" si="81"/>
        <v/>
      </c>
      <c r="CE72" s="10" t="str">
        <f t="shared" si="81"/>
        <v/>
      </c>
      <c r="CF72" s="10" t="str">
        <f t="shared" si="81"/>
        <v/>
      </c>
      <c r="CG72" s="10" t="str">
        <f t="shared" si="81"/>
        <v/>
      </c>
      <c r="CH72" s="10" t="str">
        <f t="shared" si="81"/>
        <v/>
      </c>
      <c r="CI72" s="10" t="str">
        <f t="shared" si="81"/>
        <v/>
      </c>
      <c r="CJ72" s="10" t="str">
        <f t="shared" si="81"/>
        <v/>
      </c>
      <c r="CK72" s="10" t="str">
        <f t="shared" si="81"/>
        <v/>
      </c>
      <c r="CL72" s="10" t="str">
        <f t="shared" si="81"/>
        <v/>
      </c>
      <c r="CM72" s="10" t="str">
        <f t="shared" si="81"/>
        <v/>
      </c>
      <c r="CN72" s="10" t="str">
        <f t="shared" si="81"/>
        <v/>
      </c>
      <c r="CO72" s="10" t="str">
        <f t="shared" si="81"/>
        <v/>
      </c>
      <c r="CP72" s="10" t="str">
        <f t="shared" si="81"/>
        <v/>
      </c>
      <c r="CQ72" s="10" t="str">
        <f t="shared" si="81"/>
        <v/>
      </c>
      <c r="CR72" s="10" t="str">
        <f t="shared" si="81"/>
        <v/>
      </c>
      <c r="CS72" s="10" t="str">
        <f t="shared" si="81"/>
        <v/>
      </c>
      <c r="CT72" s="10" t="str">
        <f t="shared" si="81"/>
        <v/>
      </c>
      <c r="CU72" s="10" t="str">
        <f t="shared" si="81"/>
        <v/>
      </c>
      <c r="CV72" s="10" t="str">
        <f t="shared" si="81"/>
        <v/>
      </c>
      <c r="CW72" s="10" t="str">
        <f t="shared" si="81"/>
        <v/>
      </c>
      <c r="CX72" s="10" t="str">
        <f t="shared" si="81"/>
        <v/>
      </c>
      <c r="CY72" s="10" t="str">
        <f t="shared" si="81"/>
        <v/>
      </c>
      <c r="CZ72" s="10" t="str">
        <f t="shared" si="81"/>
        <v/>
      </c>
      <c r="DA72" s="10" t="str">
        <f t="shared" si="81"/>
        <v/>
      </c>
      <c r="DB72" s="10" t="str">
        <f t="shared" si="81"/>
        <v/>
      </c>
      <c r="DC72" s="10" t="str">
        <f t="shared" si="81"/>
        <v/>
      </c>
      <c r="DD72" s="10" t="str">
        <f t="shared" si="81"/>
        <v/>
      </c>
      <c r="DE72" s="10" t="str">
        <f t="shared" si="81"/>
        <v/>
      </c>
      <c r="DF72" s="10" t="str">
        <f t="shared" si="81"/>
        <v/>
      </c>
      <c r="DG72" s="10" t="str">
        <f t="shared" si="81"/>
        <v/>
      </c>
      <c r="DH72" s="10" t="str">
        <f t="shared" si="81"/>
        <v/>
      </c>
      <c r="DI72" s="10" t="str">
        <f t="shared" si="81"/>
        <v/>
      </c>
      <c r="DJ72" s="10" t="str">
        <f t="shared" si="81"/>
        <v/>
      </c>
    </row>
    <row r="73" spans="1:114" ht="13.5" customHeight="1">
      <c r="A73" s="1">
        <f>Gerenciamento!D73</f>
        <v>0</v>
      </c>
      <c r="B73" s="1" t="e">
        <f t="shared" si="2"/>
        <v>#VALUE!</v>
      </c>
      <c r="C73" s="2" t="e">
        <f t="shared" si="6"/>
        <v>#VALUE!</v>
      </c>
      <c r="D73" s="2" t="e">
        <f t="shared" si="7"/>
        <v>#VALUE!</v>
      </c>
      <c r="E73" s="2" t="e">
        <f t="shared" si="8"/>
        <v>#VALUE!</v>
      </c>
      <c r="F73" s="2" t="e">
        <f t="shared" si="9"/>
        <v>#VALUE!</v>
      </c>
      <c r="G73" s="5" t="e">
        <f t="shared" si="15"/>
        <v>#VALUE!</v>
      </c>
      <c r="H73" s="1" t="e">
        <f t="shared" si="10"/>
        <v>#VALUE!</v>
      </c>
      <c r="I73" s="1" t="e">
        <f t="shared" si="12"/>
        <v>#VALUE!</v>
      </c>
      <c r="J73" s="6" t="e">
        <f t="shared" si="3"/>
        <v>#VALUE!</v>
      </c>
      <c r="M73" s="9" t="b">
        <f t="shared" si="4"/>
        <v>0</v>
      </c>
      <c r="N73" s="10" t="e">
        <f t="shared" ref="N73:DJ73" si="82">IF(N$1&gt;$L$2,"",IF(N$1=$L$2,1,IF($L$2-N$1=$L$1-$M73,$L$3^($L$1-$M73),($L$3*N74*O74/(N74+($L$3-1)*O74)))))</f>
        <v>#DIV/0!</v>
      </c>
      <c r="O73" s="10" t="e">
        <f t="shared" si="82"/>
        <v>#DIV/0!</v>
      </c>
      <c r="P73" s="10">
        <f t="shared" si="82"/>
        <v>1</v>
      </c>
      <c r="Q73" s="10" t="str">
        <f t="shared" si="82"/>
        <v/>
      </c>
      <c r="R73" s="10" t="str">
        <f t="shared" si="82"/>
        <v/>
      </c>
      <c r="S73" s="10" t="str">
        <f t="shared" si="82"/>
        <v/>
      </c>
      <c r="T73" s="10" t="str">
        <f t="shared" si="82"/>
        <v/>
      </c>
      <c r="U73" s="10" t="str">
        <f t="shared" si="82"/>
        <v/>
      </c>
      <c r="V73" s="10" t="str">
        <f t="shared" si="82"/>
        <v/>
      </c>
      <c r="W73" s="10" t="str">
        <f t="shared" si="82"/>
        <v/>
      </c>
      <c r="X73" s="10" t="str">
        <f t="shared" si="82"/>
        <v/>
      </c>
      <c r="Y73" s="10" t="str">
        <f t="shared" si="82"/>
        <v/>
      </c>
      <c r="Z73" s="10" t="str">
        <f t="shared" si="82"/>
        <v/>
      </c>
      <c r="AA73" s="10" t="str">
        <f t="shared" si="82"/>
        <v/>
      </c>
      <c r="AB73" s="10" t="str">
        <f t="shared" si="82"/>
        <v/>
      </c>
      <c r="AC73" s="10" t="str">
        <f t="shared" si="82"/>
        <v/>
      </c>
      <c r="AD73" s="10" t="str">
        <f t="shared" si="82"/>
        <v/>
      </c>
      <c r="AE73" s="10" t="str">
        <f t="shared" si="82"/>
        <v/>
      </c>
      <c r="AF73" s="10" t="str">
        <f t="shared" si="82"/>
        <v/>
      </c>
      <c r="AG73" s="10" t="str">
        <f t="shared" si="82"/>
        <v/>
      </c>
      <c r="AH73" s="10" t="str">
        <f t="shared" si="82"/>
        <v/>
      </c>
      <c r="AI73" s="10" t="str">
        <f t="shared" si="82"/>
        <v/>
      </c>
      <c r="AJ73" s="10" t="str">
        <f t="shared" si="82"/>
        <v/>
      </c>
      <c r="AK73" s="10" t="str">
        <f t="shared" si="82"/>
        <v/>
      </c>
      <c r="AL73" s="10" t="str">
        <f t="shared" si="82"/>
        <v/>
      </c>
      <c r="AM73" s="10" t="str">
        <f t="shared" si="82"/>
        <v/>
      </c>
      <c r="AN73" s="10" t="str">
        <f t="shared" si="82"/>
        <v/>
      </c>
      <c r="AO73" s="10" t="str">
        <f t="shared" si="82"/>
        <v/>
      </c>
      <c r="AP73" s="10" t="str">
        <f t="shared" si="82"/>
        <v/>
      </c>
      <c r="AQ73" s="10" t="str">
        <f t="shared" si="82"/>
        <v/>
      </c>
      <c r="AR73" s="10" t="str">
        <f t="shared" si="82"/>
        <v/>
      </c>
      <c r="AS73" s="10" t="str">
        <f t="shared" si="82"/>
        <v/>
      </c>
      <c r="AT73" s="10" t="str">
        <f t="shared" si="82"/>
        <v/>
      </c>
      <c r="AU73" s="10" t="str">
        <f t="shared" si="82"/>
        <v/>
      </c>
      <c r="AV73" s="10" t="str">
        <f t="shared" si="82"/>
        <v/>
      </c>
      <c r="AW73" s="10" t="str">
        <f t="shared" si="82"/>
        <v/>
      </c>
      <c r="AX73" s="10" t="str">
        <f t="shared" si="82"/>
        <v/>
      </c>
      <c r="AY73" s="10" t="str">
        <f t="shared" si="82"/>
        <v/>
      </c>
      <c r="AZ73" s="10" t="str">
        <f t="shared" si="82"/>
        <v/>
      </c>
      <c r="BA73" s="10" t="str">
        <f t="shared" si="82"/>
        <v/>
      </c>
      <c r="BB73" s="10" t="str">
        <f t="shared" si="82"/>
        <v/>
      </c>
      <c r="BC73" s="10" t="str">
        <f t="shared" si="82"/>
        <v/>
      </c>
      <c r="BD73" s="10" t="str">
        <f t="shared" si="82"/>
        <v/>
      </c>
      <c r="BE73" s="10" t="str">
        <f t="shared" si="82"/>
        <v/>
      </c>
      <c r="BF73" s="10" t="str">
        <f t="shared" si="82"/>
        <v/>
      </c>
      <c r="BG73" s="10" t="str">
        <f t="shared" si="82"/>
        <v/>
      </c>
      <c r="BH73" s="10" t="str">
        <f t="shared" si="82"/>
        <v/>
      </c>
      <c r="BI73" s="10" t="str">
        <f t="shared" si="82"/>
        <v/>
      </c>
      <c r="BJ73" s="10" t="str">
        <f t="shared" si="82"/>
        <v/>
      </c>
      <c r="BK73" s="10" t="str">
        <f t="shared" si="82"/>
        <v/>
      </c>
      <c r="BL73" s="10" t="str">
        <f t="shared" si="82"/>
        <v/>
      </c>
      <c r="BM73" s="10" t="str">
        <f t="shared" si="82"/>
        <v/>
      </c>
      <c r="BN73" s="10" t="str">
        <f t="shared" si="82"/>
        <v/>
      </c>
      <c r="BO73" s="10" t="str">
        <f t="shared" si="82"/>
        <v/>
      </c>
      <c r="BP73" s="10" t="str">
        <f t="shared" si="82"/>
        <v/>
      </c>
      <c r="BQ73" s="10" t="str">
        <f t="shared" si="82"/>
        <v/>
      </c>
      <c r="BR73" s="10" t="str">
        <f t="shared" si="82"/>
        <v/>
      </c>
      <c r="BS73" s="10" t="str">
        <f t="shared" si="82"/>
        <v/>
      </c>
      <c r="BT73" s="10" t="str">
        <f t="shared" si="82"/>
        <v/>
      </c>
      <c r="BU73" s="10" t="str">
        <f t="shared" si="82"/>
        <v/>
      </c>
      <c r="BV73" s="10" t="str">
        <f t="shared" si="82"/>
        <v/>
      </c>
      <c r="BW73" s="10" t="str">
        <f t="shared" si="82"/>
        <v/>
      </c>
      <c r="BX73" s="10" t="str">
        <f t="shared" si="82"/>
        <v/>
      </c>
      <c r="BY73" s="10" t="str">
        <f t="shared" si="82"/>
        <v/>
      </c>
      <c r="BZ73" s="10" t="str">
        <f t="shared" si="82"/>
        <v/>
      </c>
      <c r="CA73" s="10" t="str">
        <f t="shared" si="82"/>
        <v/>
      </c>
      <c r="CB73" s="10" t="str">
        <f t="shared" si="82"/>
        <v/>
      </c>
      <c r="CC73" s="10" t="str">
        <f t="shared" si="82"/>
        <v/>
      </c>
      <c r="CD73" s="10" t="str">
        <f t="shared" si="82"/>
        <v/>
      </c>
      <c r="CE73" s="10" t="str">
        <f t="shared" si="82"/>
        <v/>
      </c>
      <c r="CF73" s="10" t="str">
        <f t="shared" si="82"/>
        <v/>
      </c>
      <c r="CG73" s="10" t="str">
        <f t="shared" si="82"/>
        <v/>
      </c>
      <c r="CH73" s="10" t="str">
        <f t="shared" si="82"/>
        <v/>
      </c>
      <c r="CI73" s="10" t="str">
        <f t="shared" si="82"/>
        <v/>
      </c>
      <c r="CJ73" s="10" t="str">
        <f t="shared" si="82"/>
        <v/>
      </c>
      <c r="CK73" s="10" t="str">
        <f t="shared" si="82"/>
        <v/>
      </c>
      <c r="CL73" s="10" t="str">
        <f t="shared" si="82"/>
        <v/>
      </c>
      <c r="CM73" s="10" t="str">
        <f t="shared" si="82"/>
        <v/>
      </c>
      <c r="CN73" s="10" t="str">
        <f t="shared" si="82"/>
        <v/>
      </c>
      <c r="CO73" s="10" t="str">
        <f t="shared" si="82"/>
        <v/>
      </c>
      <c r="CP73" s="10" t="str">
        <f t="shared" si="82"/>
        <v/>
      </c>
      <c r="CQ73" s="10" t="str">
        <f t="shared" si="82"/>
        <v/>
      </c>
      <c r="CR73" s="10" t="str">
        <f t="shared" si="82"/>
        <v/>
      </c>
      <c r="CS73" s="10" t="str">
        <f t="shared" si="82"/>
        <v/>
      </c>
      <c r="CT73" s="10" t="str">
        <f t="shared" si="82"/>
        <v/>
      </c>
      <c r="CU73" s="10" t="str">
        <f t="shared" si="82"/>
        <v/>
      </c>
      <c r="CV73" s="10" t="str">
        <f t="shared" si="82"/>
        <v/>
      </c>
      <c r="CW73" s="10" t="str">
        <f t="shared" si="82"/>
        <v/>
      </c>
      <c r="CX73" s="10" t="str">
        <f t="shared" si="82"/>
        <v/>
      </c>
      <c r="CY73" s="10" t="str">
        <f t="shared" si="82"/>
        <v/>
      </c>
      <c r="CZ73" s="10" t="str">
        <f t="shared" si="82"/>
        <v/>
      </c>
      <c r="DA73" s="10" t="str">
        <f t="shared" si="82"/>
        <v/>
      </c>
      <c r="DB73" s="10" t="str">
        <f t="shared" si="82"/>
        <v/>
      </c>
      <c r="DC73" s="10" t="str">
        <f t="shared" si="82"/>
        <v/>
      </c>
      <c r="DD73" s="10" t="str">
        <f t="shared" si="82"/>
        <v/>
      </c>
      <c r="DE73" s="10" t="str">
        <f t="shared" si="82"/>
        <v/>
      </c>
      <c r="DF73" s="10" t="str">
        <f t="shared" si="82"/>
        <v/>
      </c>
      <c r="DG73" s="10" t="str">
        <f t="shared" si="82"/>
        <v/>
      </c>
      <c r="DH73" s="10" t="str">
        <f t="shared" si="82"/>
        <v/>
      </c>
      <c r="DI73" s="10" t="str">
        <f t="shared" si="82"/>
        <v/>
      </c>
      <c r="DJ73" s="10" t="str">
        <f t="shared" si="82"/>
        <v/>
      </c>
    </row>
    <row r="74" spans="1:114" ht="13.5" customHeight="1">
      <c r="A74" s="1">
        <f>Gerenciamento!D74</f>
        <v>0</v>
      </c>
      <c r="B74" s="1" t="e">
        <f t="shared" si="2"/>
        <v>#VALUE!</v>
      </c>
      <c r="C74" s="2" t="e">
        <f t="shared" si="6"/>
        <v>#VALUE!</v>
      </c>
      <c r="D74" s="2" t="e">
        <f t="shared" si="7"/>
        <v>#VALUE!</v>
      </c>
      <c r="E74" s="2" t="e">
        <f t="shared" si="8"/>
        <v>#VALUE!</v>
      </c>
      <c r="F74" s="2" t="e">
        <f t="shared" si="9"/>
        <v>#VALUE!</v>
      </c>
      <c r="G74" s="5" t="e">
        <f t="shared" si="15"/>
        <v>#VALUE!</v>
      </c>
      <c r="H74" s="1" t="e">
        <f t="shared" si="10"/>
        <v>#VALUE!</v>
      </c>
      <c r="I74" s="1" t="e">
        <f t="shared" si="12"/>
        <v>#VALUE!</v>
      </c>
      <c r="J74" s="6" t="e">
        <f t="shared" si="3"/>
        <v>#VALUE!</v>
      </c>
      <c r="M74" s="9" t="b">
        <f t="shared" si="4"/>
        <v>0</v>
      </c>
      <c r="N74" s="10" t="e">
        <f t="shared" ref="N74:DJ74" si="83">IF(N$1&gt;$L$2,"",IF(N$1=$L$2,1,IF($L$2-N$1=$L$1-$M74,$L$3^($L$1-$M74),($L$3*N75*O75/(N75+($L$3-1)*O75)))))</f>
        <v>#DIV/0!</v>
      </c>
      <c r="O74" s="10" t="e">
        <f t="shared" si="83"/>
        <v>#DIV/0!</v>
      </c>
      <c r="P74" s="10">
        <f t="shared" si="83"/>
        <v>1</v>
      </c>
      <c r="Q74" s="10" t="str">
        <f t="shared" si="83"/>
        <v/>
      </c>
      <c r="R74" s="10" t="str">
        <f t="shared" si="83"/>
        <v/>
      </c>
      <c r="S74" s="10" t="str">
        <f t="shared" si="83"/>
        <v/>
      </c>
      <c r="T74" s="10" t="str">
        <f t="shared" si="83"/>
        <v/>
      </c>
      <c r="U74" s="10" t="str">
        <f t="shared" si="83"/>
        <v/>
      </c>
      <c r="V74" s="10" t="str">
        <f t="shared" si="83"/>
        <v/>
      </c>
      <c r="W74" s="10" t="str">
        <f t="shared" si="83"/>
        <v/>
      </c>
      <c r="X74" s="10" t="str">
        <f t="shared" si="83"/>
        <v/>
      </c>
      <c r="Y74" s="10" t="str">
        <f t="shared" si="83"/>
        <v/>
      </c>
      <c r="Z74" s="10" t="str">
        <f t="shared" si="83"/>
        <v/>
      </c>
      <c r="AA74" s="10" t="str">
        <f t="shared" si="83"/>
        <v/>
      </c>
      <c r="AB74" s="10" t="str">
        <f t="shared" si="83"/>
        <v/>
      </c>
      <c r="AC74" s="10" t="str">
        <f t="shared" si="83"/>
        <v/>
      </c>
      <c r="AD74" s="10" t="str">
        <f t="shared" si="83"/>
        <v/>
      </c>
      <c r="AE74" s="10" t="str">
        <f t="shared" si="83"/>
        <v/>
      </c>
      <c r="AF74" s="10" t="str">
        <f t="shared" si="83"/>
        <v/>
      </c>
      <c r="AG74" s="10" t="str">
        <f t="shared" si="83"/>
        <v/>
      </c>
      <c r="AH74" s="10" t="str">
        <f t="shared" si="83"/>
        <v/>
      </c>
      <c r="AI74" s="10" t="str">
        <f t="shared" si="83"/>
        <v/>
      </c>
      <c r="AJ74" s="10" t="str">
        <f t="shared" si="83"/>
        <v/>
      </c>
      <c r="AK74" s="10" t="str">
        <f t="shared" si="83"/>
        <v/>
      </c>
      <c r="AL74" s="10" t="str">
        <f t="shared" si="83"/>
        <v/>
      </c>
      <c r="AM74" s="10" t="str">
        <f t="shared" si="83"/>
        <v/>
      </c>
      <c r="AN74" s="10" t="str">
        <f t="shared" si="83"/>
        <v/>
      </c>
      <c r="AO74" s="10" t="str">
        <f t="shared" si="83"/>
        <v/>
      </c>
      <c r="AP74" s="10" t="str">
        <f t="shared" si="83"/>
        <v/>
      </c>
      <c r="AQ74" s="10" t="str">
        <f t="shared" si="83"/>
        <v/>
      </c>
      <c r="AR74" s="10" t="str">
        <f t="shared" si="83"/>
        <v/>
      </c>
      <c r="AS74" s="10" t="str">
        <f t="shared" si="83"/>
        <v/>
      </c>
      <c r="AT74" s="10" t="str">
        <f t="shared" si="83"/>
        <v/>
      </c>
      <c r="AU74" s="10" t="str">
        <f t="shared" si="83"/>
        <v/>
      </c>
      <c r="AV74" s="10" t="str">
        <f t="shared" si="83"/>
        <v/>
      </c>
      <c r="AW74" s="10" t="str">
        <f t="shared" si="83"/>
        <v/>
      </c>
      <c r="AX74" s="10" t="str">
        <f t="shared" si="83"/>
        <v/>
      </c>
      <c r="AY74" s="10" t="str">
        <f t="shared" si="83"/>
        <v/>
      </c>
      <c r="AZ74" s="10" t="str">
        <f t="shared" si="83"/>
        <v/>
      </c>
      <c r="BA74" s="10" t="str">
        <f t="shared" si="83"/>
        <v/>
      </c>
      <c r="BB74" s="10" t="str">
        <f t="shared" si="83"/>
        <v/>
      </c>
      <c r="BC74" s="10" t="str">
        <f t="shared" si="83"/>
        <v/>
      </c>
      <c r="BD74" s="10" t="str">
        <f t="shared" si="83"/>
        <v/>
      </c>
      <c r="BE74" s="10" t="str">
        <f t="shared" si="83"/>
        <v/>
      </c>
      <c r="BF74" s="10" t="str">
        <f t="shared" si="83"/>
        <v/>
      </c>
      <c r="BG74" s="10" t="str">
        <f t="shared" si="83"/>
        <v/>
      </c>
      <c r="BH74" s="10" t="str">
        <f t="shared" si="83"/>
        <v/>
      </c>
      <c r="BI74" s="10" t="str">
        <f t="shared" si="83"/>
        <v/>
      </c>
      <c r="BJ74" s="10" t="str">
        <f t="shared" si="83"/>
        <v/>
      </c>
      <c r="BK74" s="10" t="str">
        <f t="shared" si="83"/>
        <v/>
      </c>
      <c r="BL74" s="10" t="str">
        <f t="shared" si="83"/>
        <v/>
      </c>
      <c r="BM74" s="10" t="str">
        <f t="shared" si="83"/>
        <v/>
      </c>
      <c r="BN74" s="10" t="str">
        <f t="shared" si="83"/>
        <v/>
      </c>
      <c r="BO74" s="10" t="str">
        <f t="shared" si="83"/>
        <v/>
      </c>
      <c r="BP74" s="10" t="str">
        <f t="shared" si="83"/>
        <v/>
      </c>
      <c r="BQ74" s="10" t="str">
        <f t="shared" si="83"/>
        <v/>
      </c>
      <c r="BR74" s="10" t="str">
        <f t="shared" si="83"/>
        <v/>
      </c>
      <c r="BS74" s="10" t="str">
        <f t="shared" si="83"/>
        <v/>
      </c>
      <c r="BT74" s="10" t="str">
        <f t="shared" si="83"/>
        <v/>
      </c>
      <c r="BU74" s="10" t="str">
        <f t="shared" si="83"/>
        <v/>
      </c>
      <c r="BV74" s="10" t="str">
        <f t="shared" si="83"/>
        <v/>
      </c>
      <c r="BW74" s="10" t="str">
        <f t="shared" si="83"/>
        <v/>
      </c>
      <c r="BX74" s="10" t="str">
        <f t="shared" si="83"/>
        <v/>
      </c>
      <c r="BY74" s="10" t="str">
        <f t="shared" si="83"/>
        <v/>
      </c>
      <c r="BZ74" s="10" t="str">
        <f t="shared" si="83"/>
        <v/>
      </c>
      <c r="CA74" s="10" t="str">
        <f t="shared" si="83"/>
        <v/>
      </c>
      <c r="CB74" s="10" t="str">
        <f t="shared" si="83"/>
        <v/>
      </c>
      <c r="CC74" s="10" t="str">
        <f t="shared" si="83"/>
        <v/>
      </c>
      <c r="CD74" s="10" t="str">
        <f t="shared" si="83"/>
        <v/>
      </c>
      <c r="CE74" s="10" t="str">
        <f t="shared" si="83"/>
        <v/>
      </c>
      <c r="CF74" s="10" t="str">
        <f t="shared" si="83"/>
        <v/>
      </c>
      <c r="CG74" s="10" t="str">
        <f t="shared" si="83"/>
        <v/>
      </c>
      <c r="CH74" s="10" t="str">
        <f t="shared" si="83"/>
        <v/>
      </c>
      <c r="CI74" s="10" t="str">
        <f t="shared" si="83"/>
        <v/>
      </c>
      <c r="CJ74" s="10" t="str">
        <f t="shared" si="83"/>
        <v/>
      </c>
      <c r="CK74" s="10" t="str">
        <f t="shared" si="83"/>
        <v/>
      </c>
      <c r="CL74" s="10" t="str">
        <f t="shared" si="83"/>
        <v/>
      </c>
      <c r="CM74" s="10" t="str">
        <f t="shared" si="83"/>
        <v/>
      </c>
      <c r="CN74" s="10" t="str">
        <f t="shared" si="83"/>
        <v/>
      </c>
      <c r="CO74" s="10" t="str">
        <f t="shared" si="83"/>
        <v/>
      </c>
      <c r="CP74" s="10" t="str">
        <f t="shared" si="83"/>
        <v/>
      </c>
      <c r="CQ74" s="10" t="str">
        <f t="shared" si="83"/>
        <v/>
      </c>
      <c r="CR74" s="10" t="str">
        <f t="shared" si="83"/>
        <v/>
      </c>
      <c r="CS74" s="10" t="str">
        <f t="shared" si="83"/>
        <v/>
      </c>
      <c r="CT74" s="10" t="str">
        <f t="shared" si="83"/>
        <v/>
      </c>
      <c r="CU74" s="10" t="str">
        <f t="shared" si="83"/>
        <v/>
      </c>
      <c r="CV74" s="10" t="str">
        <f t="shared" si="83"/>
        <v/>
      </c>
      <c r="CW74" s="10" t="str">
        <f t="shared" si="83"/>
        <v/>
      </c>
      <c r="CX74" s="10" t="str">
        <f t="shared" si="83"/>
        <v/>
      </c>
      <c r="CY74" s="10" t="str">
        <f t="shared" si="83"/>
        <v/>
      </c>
      <c r="CZ74" s="10" t="str">
        <f t="shared" si="83"/>
        <v/>
      </c>
      <c r="DA74" s="10" t="str">
        <f t="shared" si="83"/>
        <v/>
      </c>
      <c r="DB74" s="10" t="str">
        <f t="shared" si="83"/>
        <v/>
      </c>
      <c r="DC74" s="10" t="str">
        <f t="shared" si="83"/>
        <v/>
      </c>
      <c r="DD74" s="10" t="str">
        <f t="shared" si="83"/>
        <v/>
      </c>
      <c r="DE74" s="10" t="str">
        <f t="shared" si="83"/>
        <v/>
      </c>
      <c r="DF74" s="10" t="str">
        <f t="shared" si="83"/>
        <v/>
      </c>
      <c r="DG74" s="10" t="str">
        <f t="shared" si="83"/>
        <v/>
      </c>
      <c r="DH74" s="10" t="str">
        <f t="shared" si="83"/>
        <v/>
      </c>
      <c r="DI74" s="10" t="str">
        <f t="shared" si="83"/>
        <v/>
      </c>
      <c r="DJ74" s="10" t="str">
        <f t="shared" si="83"/>
        <v/>
      </c>
    </row>
    <row r="75" spans="1:114" ht="13.5" customHeight="1">
      <c r="A75" s="1">
        <f>Gerenciamento!D75</f>
        <v>0</v>
      </c>
      <c r="B75" s="1" t="e">
        <f t="shared" si="2"/>
        <v>#VALUE!</v>
      </c>
      <c r="C75" s="2" t="e">
        <f t="shared" si="6"/>
        <v>#VALUE!</v>
      </c>
      <c r="D75" s="2" t="e">
        <f t="shared" si="7"/>
        <v>#VALUE!</v>
      </c>
      <c r="E75" s="2" t="e">
        <f t="shared" si="8"/>
        <v>#VALUE!</v>
      </c>
      <c r="F75" s="2" t="e">
        <f t="shared" si="9"/>
        <v>#VALUE!</v>
      </c>
      <c r="G75" s="5" t="e">
        <f t="shared" si="15"/>
        <v>#VALUE!</v>
      </c>
      <c r="H75" s="1" t="e">
        <f t="shared" si="10"/>
        <v>#VALUE!</v>
      </c>
      <c r="I75" s="1" t="e">
        <f t="shared" si="12"/>
        <v>#VALUE!</v>
      </c>
      <c r="J75" s="6" t="e">
        <f t="shared" si="3"/>
        <v>#VALUE!</v>
      </c>
      <c r="M75" s="9" t="b">
        <f t="shared" si="4"/>
        <v>0</v>
      </c>
      <c r="N75" s="10" t="e">
        <f t="shared" ref="N75:DJ75" si="84">IF(N$1&gt;$L$2,"",IF(N$1=$L$2,1,IF($L$2-N$1=$L$1-$M75,$L$3^($L$1-$M75),($L$3*N76*O76/(N76+($L$3-1)*O76)))))</f>
        <v>#DIV/0!</v>
      </c>
      <c r="O75" s="10" t="e">
        <f t="shared" si="84"/>
        <v>#DIV/0!</v>
      </c>
      <c r="P75" s="10">
        <f t="shared" si="84"/>
        <v>1</v>
      </c>
      <c r="Q75" s="10" t="str">
        <f t="shared" si="84"/>
        <v/>
      </c>
      <c r="R75" s="10" t="str">
        <f t="shared" si="84"/>
        <v/>
      </c>
      <c r="S75" s="10" t="str">
        <f t="shared" si="84"/>
        <v/>
      </c>
      <c r="T75" s="10" t="str">
        <f t="shared" si="84"/>
        <v/>
      </c>
      <c r="U75" s="10" t="str">
        <f t="shared" si="84"/>
        <v/>
      </c>
      <c r="V75" s="10" t="str">
        <f t="shared" si="84"/>
        <v/>
      </c>
      <c r="W75" s="10" t="str">
        <f t="shared" si="84"/>
        <v/>
      </c>
      <c r="X75" s="10" t="str">
        <f t="shared" si="84"/>
        <v/>
      </c>
      <c r="Y75" s="10" t="str">
        <f t="shared" si="84"/>
        <v/>
      </c>
      <c r="Z75" s="10" t="str">
        <f t="shared" si="84"/>
        <v/>
      </c>
      <c r="AA75" s="10" t="str">
        <f t="shared" si="84"/>
        <v/>
      </c>
      <c r="AB75" s="10" t="str">
        <f t="shared" si="84"/>
        <v/>
      </c>
      <c r="AC75" s="10" t="str">
        <f t="shared" si="84"/>
        <v/>
      </c>
      <c r="AD75" s="10" t="str">
        <f t="shared" si="84"/>
        <v/>
      </c>
      <c r="AE75" s="10" t="str">
        <f t="shared" si="84"/>
        <v/>
      </c>
      <c r="AF75" s="10" t="str">
        <f t="shared" si="84"/>
        <v/>
      </c>
      <c r="AG75" s="10" t="str">
        <f t="shared" si="84"/>
        <v/>
      </c>
      <c r="AH75" s="10" t="str">
        <f t="shared" si="84"/>
        <v/>
      </c>
      <c r="AI75" s="10" t="str">
        <f t="shared" si="84"/>
        <v/>
      </c>
      <c r="AJ75" s="10" t="str">
        <f t="shared" si="84"/>
        <v/>
      </c>
      <c r="AK75" s="10" t="str">
        <f t="shared" si="84"/>
        <v/>
      </c>
      <c r="AL75" s="10" t="str">
        <f t="shared" si="84"/>
        <v/>
      </c>
      <c r="AM75" s="10" t="str">
        <f t="shared" si="84"/>
        <v/>
      </c>
      <c r="AN75" s="10" t="str">
        <f t="shared" si="84"/>
        <v/>
      </c>
      <c r="AO75" s="10" t="str">
        <f t="shared" si="84"/>
        <v/>
      </c>
      <c r="AP75" s="10" t="str">
        <f t="shared" si="84"/>
        <v/>
      </c>
      <c r="AQ75" s="10" t="str">
        <f t="shared" si="84"/>
        <v/>
      </c>
      <c r="AR75" s="10" t="str">
        <f t="shared" si="84"/>
        <v/>
      </c>
      <c r="AS75" s="10" t="str">
        <f t="shared" si="84"/>
        <v/>
      </c>
      <c r="AT75" s="10" t="str">
        <f t="shared" si="84"/>
        <v/>
      </c>
      <c r="AU75" s="10" t="str">
        <f t="shared" si="84"/>
        <v/>
      </c>
      <c r="AV75" s="10" t="str">
        <f t="shared" si="84"/>
        <v/>
      </c>
      <c r="AW75" s="10" t="str">
        <f t="shared" si="84"/>
        <v/>
      </c>
      <c r="AX75" s="10" t="str">
        <f t="shared" si="84"/>
        <v/>
      </c>
      <c r="AY75" s="10" t="str">
        <f t="shared" si="84"/>
        <v/>
      </c>
      <c r="AZ75" s="10" t="str">
        <f t="shared" si="84"/>
        <v/>
      </c>
      <c r="BA75" s="10" t="str">
        <f t="shared" si="84"/>
        <v/>
      </c>
      <c r="BB75" s="10" t="str">
        <f t="shared" si="84"/>
        <v/>
      </c>
      <c r="BC75" s="10" t="str">
        <f t="shared" si="84"/>
        <v/>
      </c>
      <c r="BD75" s="10" t="str">
        <f t="shared" si="84"/>
        <v/>
      </c>
      <c r="BE75" s="10" t="str">
        <f t="shared" si="84"/>
        <v/>
      </c>
      <c r="BF75" s="10" t="str">
        <f t="shared" si="84"/>
        <v/>
      </c>
      <c r="BG75" s="10" t="str">
        <f t="shared" si="84"/>
        <v/>
      </c>
      <c r="BH75" s="10" t="str">
        <f t="shared" si="84"/>
        <v/>
      </c>
      <c r="BI75" s="10" t="str">
        <f t="shared" si="84"/>
        <v/>
      </c>
      <c r="BJ75" s="10" t="str">
        <f t="shared" si="84"/>
        <v/>
      </c>
      <c r="BK75" s="10" t="str">
        <f t="shared" si="84"/>
        <v/>
      </c>
      <c r="BL75" s="10" t="str">
        <f t="shared" si="84"/>
        <v/>
      </c>
      <c r="BM75" s="10" t="str">
        <f t="shared" si="84"/>
        <v/>
      </c>
      <c r="BN75" s="10" t="str">
        <f t="shared" si="84"/>
        <v/>
      </c>
      <c r="BO75" s="10" t="str">
        <f t="shared" si="84"/>
        <v/>
      </c>
      <c r="BP75" s="10" t="str">
        <f t="shared" si="84"/>
        <v/>
      </c>
      <c r="BQ75" s="10" t="str">
        <f t="shared" si="84"/>
        <v/>
      </c>
      <c r="BR75" s="10" t="str">
        <f t="shared" si="84"/>
        <v/>
      </c>
      <c r="BS75" s="10" t="str">
        <f t="shared" si="84"/>
        <v/>
      </c>
      <c r="BT75" s="10" t="str">
        <f t="shared" si="84"/>
        <v/>
      </c>
      <c r="BU75" s="10" t="str">
        <f t="shared" si="84"/>
        <v/>
      </c>
      <c r="BV75" s="10" t="str">
        <f t="shared" si="84"/>
        <v/>
      </c>
      <c r="BW75" s="10" t="str">
        <f t="shared" si="84"/>
        <v/>
      </c>
      <c r="BX75" s="10" t="str">
        <f t="shared" si="84"/>
        <v/>
      </c>
      <c r="BY75" s="10" t="str">
        <f t="shared" si="84"/>
        <v/>
      </c>
      <c r="BZ75" s="10" t="str">
        <f t="shared" si="84"/>
        <v/>
      </c>
      <c r="CA75" s="10" t="str">
        <f t="shared" si="84"/>
        <v/>
      </c>
      <c r="CB75" s="10" t="str">
        <f t="shared" si="84"/>
        <v/>
      </c>
      <c r="CC75" s="10" t="str">
        <f t="shared" si="84"/>
        <v/>
      </c>
      <c r="CD75" s="10" t="str">
        <f t="shared" si="84"/>
        <v/>
      </c>
      <c r="CE75" s="10" t="str">
        <f t="shared" si="84"/>
        <v/>
      </c>
      <c r="CF75" s="10" t="str">
        <f t="shared" si="84"/>
        <v/>
      </c>
      <c r="CG75" s="10" t="str">
        <f t="shared" si="84"/>
        <v/>
      </c>
      <c r="CH75" s="10" t="str">
        <f t="shared" si="84"/>
        <v/>
      </c>
      <c r="CI75" s="10" t="str">
        <f t="shared" si="84"/>
        <v/>
      </c>
      <c r="CJ75" s="10" t="str">
        <f t="shared" si="84"/>
        <v/>
      </c>
      <c r="CK75" s="10" t="str">
        <f t="shared" si="84"/>
        <v/>
      </c>
      <c r="CL75" s="10" t="str">
        <f t="shared" si="84"/>
        <v/>
      </c>
      <c r="CM75" s="10" t="str">
        <f t="shared" si="84"/>
        <v/>
      </c>
      <c r="CN75" s="10" t="str">
        <f t="shared" si="84"/>
        <v/>
      </c>
      <c r="CO75" s="10" t="str">
        <f t="shared" si="84"/>
        <v/>
      </c>
      <c r="CP75" s="10" t="str">
        <f t="shared" si="84"/>
        <v/>
      </c>
      <c r="CQ75" s="10" t="str">
        <f t="shared" si="84"/>
        <v/>
      </c>
      <c r="CR75" s="10" t="str">
        <f t="shared" si="84"/>
        <v/>
      </c>
      <c r="CS75" s="10" t="str">
        <f t="shared" si="84"/>
        <v/>
      </c>
      <c r="CT75" s="10" t="str">
        <f t="shared" si="84"/>
        <v/>
      </c>
      <c r="CU75" s="10" t="str">
        <f t="shared" si="84"/>
        <v/>
      </c>
      <c r="CV75" s="10" t="str">
        <f t="shared" si="84"/>
        <v/>
      </c>
      <c r="CW75" s="10" t="str">
        <f t="shared" si="84"/>
        <v/>
      </c>
      <c r="CX75" s="10" t="str">
        <f t="shared" si="84"/>
        <v/>
      </c>
      <c r="CY75" s="10" t="str">
        <f t="shared" si="84"/>
        <v/>
      </c>
      <c r="CZ75" s="10" t="str">
        <f t="shared" si="84"/>
        <v/>
      </c>
      <c r="DA75" s="10" t="str">
        <f t="shared" si="84"/>
        <v/>
      </c>
      <c r="DB75" s="10" t="str">
        <f t="shared" si="84"/>
        <v/>
      </c>
      <c r="DC75" s="10" t="str">
        <f t="shared" si="84"/>
        <v/>
      </c>
      <c r="DD75" s="10" t="str">
        <f t="shared" si="84"/>
        <v/>
      </c>
      <c r="DE75" s="10" t="str">
        <f t="shared" si="84"/>
        <v/>
      </c>
      <c r="DF75" s="10" t="str">
        <f t="shared" si="84"/>
        <v/>
      </c>
      <c r="DG75" s="10" t="str">
        <f t="shared" si="84"/>
        <v/>
      </c>
      <c r="DH75" s="10" t="str">
        <f t="shared" si="84"/>
        <v/>
      </c>
      <c r="DI75" s="10" t="str">
        <f t="shared" si="84"/>
        <v/>
      </c>
      <c r="DJ75" s="10" t="str">
        <f t="shared" si="84"/>
        <v/>
      </c>
    </row>
    <row r="76" spans="1:114" ht="13.5" customHeight="1">
      <c r="A76" s="1">
        <f>Gerenciamento!D76</f>
        <v>0</v>
      </c>
      <c r="B76" s="1" t="e">
        <f t="shared" si="2"/>
        <v>#VALUE!</v>
      </c>
      <c r="C76" s="2" t="e">
        <f t="shared" si="6"/>
        <v>#VALUE!</v>
      </c>
      <c r="D76" s="2" t="e">
        <f t="shared" si="7"/>
        <v>#VALUE!</v>
      </c>
      <c r="E76" s="2" t="e">
        <f t="shared" si="8"/>
        <v>#VALUE!</v>
      </c>
      <c r="F76" s="2" t="e">
        <f t="shared" si="9"/>
        <v>#VALUE!</v>
      </c>
      <c r="G76" s="5" t="e">
        <f t="shared" si="15"/>
        <v>#VALUE!</v>
      </c>
      <c r="H76" s="1" t="e">
        <f t="shared" si="10"/>
        <v>#VALUE!</v>
      </c>
      <c r="I76" s="1" t="e">
        <f t="shared" si="12"/>
        <v>#VALUE!</v>
      </c>
      <c r="J76" s="6" t="e">
        <f t="shared" si="3"/>
        <v>#VALUE!</v>
      </c>
      <c r="M76" s="9" t="b">
        <f t="shared" si="4"/>
        <v>0</v>
      </c>
      <c r="N76" s="10" t="e">
        <f t="shared" ref="N76:DJ76" si="85">IF(N$1&gt;$L$2,"",IF(N$1=$L$2,1,IF($L$2-N$1=$L$1-$M76,$L$3^($L$1-$M76),($L$3*N77*O77/(N77+($L$3-1)*O77)))))</f>
        <v>#DIV/0!</v>
      </c>
      <c r="O76" s="10" t="e">
        <f t="shared" si="85"/>
        <v>#DIV/0!</v>
      </c>
      <c r="P76" s="10">
        <f t="shared" si="85"/>
        <v>1</v>
      </c>
      <c r="Q76" s="10" t="str">
        <f t="shared" si="85"/>
        <v/>
      </c>
      <c r="R76" s="10" t="str">
        <f t="shared" si="85"/>
        <v/>
      </c>
      <c r="S76" s="10" t="str">
        <f t="shared" si="85"/>
        <v/>
      </c>
      <c r="T76" s="10" t="str">
        <f t="shared" si="85"/>
        <v/>
      </c>
      <c r="U76" s="10" t="str">
        <f t="shared" si="85"/>
        <v/>
      </c>
      <c r="V76" s="10" t="str">
        <f t="shared" si="85"/>
        <v/>
      </c>
      <c r="W76" s="10" t="str">
        <f t="shared" si="85"/>
        <v/>
      </c>
      <c r="X76" s="10" t="str">
        <f t="shared" si="85"/>
        <v/>
      </c>
      <c r="Y76" s="10" t="str">
        <f t="shared" si="85"/>
        <v/>
      </c>
      <c r="Z76" s="10" t="str">
        <f t="shared" si="85"/>
        <v/>
      </c>
      <c r="AA76" s="10" t="str">
        <f t="shared" si="85"/>
        <v/>
      </c>
      <c r="AB76" s="10" t="str">
        <f t="shared" si="85"/>
        <v/>
      </c>
      <c r="AC76" s="10" t="str">
        <f t="shared" si="85"/>
        <v/>
      </c>
      <c r="AD76" s="10" t="str">
        <f t="shared" si="85"/>
        <v/>
      </c>
      <c r="AE76" s="10" t="str">
        <f t="shared" si="85"/>
        <v/>
      </c>
      <c r="AF76" s="10" t="str">
        <f t="shared" si="85"/>
        <v/>
      </c>
      <c r="AG76" s="10" t="str">
        <f t="shared" si="85"/>
        <v/>
      </c>
      <c r="AH76" s="10" t="str">
        <f t="shared" si="85"/>
        <v/>
      </c>
      <c r="AI76" s="10" t="str">
        <f t="shared" si="85"/>
        <v/>
      </c>
      <c r="AJ76" s="10" t="str">
        <f t="shared" si="85"/>
        <v/>
      </c>
      <c r="AK76" s="10" t="str">
        <f t="shared" si="85"/>
        <v/>
      </c>
      <c r="AL76" s="10" t="str">
        <f t="shared" si="85"/>
        <v/>
      </c>
      <c r="AM76" s="10" t="str">
        <f t="shared" si="85"/>
        <v/>
      </c>
      <c r="AN76" s="10" t="str">
        <f t="shared" si="85"/>
        <v/>
      </c>
      <c r="AO76" s="10" t="str">
        <f t="shared" si="85"/>
        <v/>
      </c>
      <c r="AP76" s="10" t="str">
        <f t="shared" si="85"/>
        <v/>
      </c>
      <c r="AQ76" s="10" t="str">
        <f t="shared" si="85"/>
        <v/>
      </c>
      <c r="AR76" s="10" t="str">
        <f t="shared" si="85"/>
        <v/>
      </c>
      <c r="AS76" s="10" t="str">
        <f t="shared" si="85"/>
        <v/>
      </c>
      <c r="AT76" s="10" t="str">
        <f t="shared" si="85"/>
        <v/>
      </c>
      <c r="AU76" s="10" t="str">
        <f t="shared" si="85"/>
        <v/>
      </c>
      <c r="AV76" s="10" t="str">
        <f t="shared" si="85"/>
        <v/>
      </c>
      <c r="AW76" s="10" t="str">
        <f t="shared" si="85"/>
        <v/>
      </c>
      <c r="AX76" s="10" t="str">
        <f t="shared" si="85"/>
        <v/>
      </c>
      <c r="AY76" s="10" t="str">
        <f t="shared" si="85"/>
        <v/>
      </c>
      <c r="AZ76" s="10" t="str">
        <f t="shared" si="85"/>
        <v/>
      </c>
      <c r="BA76" s="10" t="str">
        <f t="shared" si="85"/>
        <v/>
      </c>
      <c r="BB76" s="10" t="str">
        <f t="shared" si="85"/>
        <v/>
      </c>
      <c r="BC76" s="10" t="str">
        <f t="shared" si="85"/>
        <v/>
      </c>
      <c r="BD76" s="10" t="str">
        <f t="shared" si="85"/>
        <v/>
      </c>
      <c r="BE76" s="10" t="str">
        <f t="shared" si="85"/>
        <v/>
      </c>
      <c r="BF76" s="10" t="str">
        <f t="shared" si="85"/>
        <v/>
      </c>
      <c r="BG76" s="10" t="str">
        <f t="shared" si="85"/>
        <v/>
      </c>
      <c r="BH76" s="10" t="str">
        <f t="shared" si="85"/>
        <v/>
      </c>
      <c r="BI76" s="10" t="str">
        <f t="shared" si="85"/>
        <v/>
      </c>
      <c r="BJ76" s="10" t="str">
        <f t="shared" si="85"/>
        <v/>
      </c>
      <c r="BK76" s="10" t="str">
        <f t="shared" si="85"/>
        <v/>
      </c>
      <c r="BL76" s="10" t="str">
        <f t="shared" si="85"/>
        <v/>
      </c>
      <c r="BM76" s="10" t="str">
        <f t="shared" si="85"/>
        <v/>
      </c>
      <c r="BN76" s="10" t="str">
        <f t="shared" si="85"/>
        <v/>
      </c>
      <c r="BO76" s="10" t="str">
        <f t="shared" si="85"/>
        <v/>
      </c>
      <c r="BP76" s="10" t="str">
        <f t="shared" si="85"/>
        <v/>
      </c>
      <c r="BQ76" s="10" t="str">
        <f t="shared" si="85"/>
        <v/>
      </c>
      <c r="BR76" s="10" t="str">
        <f t="shared" si="85"/>
        <v/>
      </c>
      <c r="BS76" s="10" t="str">
        <f t="shared" si="85"/>
        <v/>
      </c>
      <c r="BT76" s="10" t="str">
        <f t="shared" si="85"/>
        <v/>
      </c>
      <c r="BU76" s="10" t="str">
        <f t="shared" si="85"/>
        <v/>
      </c>
      <c r="BV76" s="10" t="str">
        <f t="shared" si="85"/>
        <v/>
      </c>
      <c r="BW76" s="10" t="str">
        <f t="shared" si="85"/>
        <v/>
      </c>
      <c r="BX76" s="10" t="str">
        <f t="shared" si="85"/>
        <v/>
      </c>
      <c r="BY76" s="10" t="str">
        <f t="shared" si="85"/>
        <v/>
      </c>
      <c r="BZ76" s="10" t="str">
        <f t="shared" si="85"/>
        <v/>
      </c>
      <c r="CA76" s="10" t="str">
        <f t="shared" si="85"/>
        <v/>
      </c>
      <c r="CB76" s="10" t="str">
        <f t="shared" si="85"/>
        <v/>
      </c>
      <c r="CC76" s="10" t="str">
        <f t="shared" si="85"/>
        <v/>
      </c>
      <c r="CD76" s="10" t="str">
        <f t="shared" si="85"/>
        <v/>
      </c>
      <c r="CE76" s="10" t="str">
        <f t="shared" si="85"/>
        <v/>
      </c>
      <c r="CF76" s="10" t="str">
        <f t="shared" si="85"/>
        <v/>
      </c>
      <c r="CG76" s="10" t="str">
        <f t="shared" si="85"/>
        <v/>
      </c>
      <c r="CH76" s="10" t="str">
        <f t="shared" si="85"/>
        <v/>
      </c>
      <c r="CI76" s="10" t="str">
        <f t="shared" si="85"/>
        <v/>
      </c>
      <c r="CJ76" s="10" t="str">
        <f t="shared" si="85"/>
        <v/>
      </c>
      <c r="CK76" s="10" t="str">
        <f t="shared" si="85"/>
        <v/>
      </c>
      <c r="CL76" s="10" t="str">
        <f t="shared" si="85"/>
        <v/>
      </c>
      <c r="CM76" s="10" t="str">
        <f t="shared" si="85"/>
        <v/>
      </c>
      <c r="CN76" s="10" t="str">
        <f t="shared" si="85"/>
        <v/>
      </c>
      <c r="CO76" s="10" t="str">
        <f t="shared" si="85"/>
        <v/>
      </c>
      <c r="CP76" s="10" t="str">
        <f t="shared" si="85"/>
        <v/>
      </c>
      <c r="CQ76" s="10" t="str">
        <f t="shared" si="85"/>
        <v/>
      </c>
      <c r="CR76" s="10" t="str">
        <f t="shared" si="85"/>
        <v/>
      </c>
      <c r="CS76" s="10" t="str">
        <f t="shared" si="85"/>
        <v/>
      </c>
      <c r="CT76" s="10" t="str">
        <f t="shared" si="85"/>
        <v/>
      </c>
      <c r="CU76" s="10" t="str">
        <f t="shared" si="85"/>
        <v/>
      </c>
      <c r="CV76" s="10" t="str">
        <f t="shared" si="85"/>
        <v/>
      </c>
      <c r="CW76" s="10" t="str">
        <f t="shared" si="85"/>
        <v/>
      </c>
      <c r="CX76" s="10" t="str">
        <f t="shared" si="85"/>
        <v/>
      </c>
      <c r="CY76" s="10" t="str">
        <f t="shared" si="85"/>
        <v/>
      </c>
      <c r="CZ76" s="10" t="str">
        <f t="shared" si="85"/>
        <v/>
      </c>
      <c r="DA76" s="10" t="str">
        <f t="shared" si="85"/>
        <v/>
      </c>
      <c r="DB76" s="10" t="str">
        <f t="shared" si="85"/>
        <v/>
      </c>
      <c r="DC76" s="10" t="str">
        <f t="shared" si="85"/>
        <v/>
      </c>
      <c r="DD76" s="10" t="str">
        <f t="shared" si="85"/>
        <v/>
      </c>
      <c r="DE76" s="10" t="str">
        <f t="shared" si="85"/>
        <v/>
      </c>
      <c r="DF76" s="10" t="str">
        <f t="shared" si="85"/>
        <v/>
      </c>
      <c r="DG76" s="10" t="str">
        <f t="shared" si="85"/>
        <v/>
      </c>
      <c r="DH76" s="10" t="str">
        <f t="shared" si="85"/>
        <v/>
      </c>
      <c r="DI76" s="10" t="str">
        <f t="shared" si="85"/>
        <v/>
      </c>
      <c r="DJ76" s="10" t="str">
        <f t="shared" si="85"/>
        <v/>
      </c>
    </row>
    <row r="77" spans="1:114" ht="13.5" customHeight="1">
      <c r="A77" s="1">
        <f>Gerenciamento!D77</f>
        <v>0</v>
      </c>
      <c r="B77" s="1" t="e">
        <f t="shared" si="2"/>
        <v>#VALUE!</v>
      </c>
      <c r="C77" s="2" t="e">
        <f t="shared" si="6"/>
        <v>#VALUE!</v>
      </c>
      <c r="D77" s="2" t="e">
        <f t="shared" si="7"/>
        <v>#VALUE!</v>
      </c>
      <c r="E77" s="2" t="e">
        <f t="shared" si="8"/>
        <v>#VALUE!</v>
      </c>
      <c r="F77" s="2" t="e">
        <f t="shared" si="9"/>
        <v>#VALUE!</v>
      </c>
      <c r="G77" s="5" t="e">
        <f t="shared" si="15"/>
        <v>#VALUE!</v>
      </c>
      <c r="H77" s="1" t="e">
        <f t="shared" si="10"/>
        <v>#VALUE!</v>
      </c>
      <c r="I77" s="1" t="e">
        <f t="shared" si="12"/>
        <v>#VALUE!</v>
      </c>
      <c r="J77" s="6" t="e">
        <f t="shared" si="3"/>
        <v>#VALUE!</v>
      </c>
      <c r="M77" s="9" t="b">
        <f t="shared" si="4"/>
        <v>0</v>
      </c>
      <c r="N77" s="10" t="e">
        <f t="shared" ref="N77:DJ77" si="86">IF(N$1&gt;$L$2,"",IF(N$1=$L$2,1,IF($L$2-N$1=$L$1-$M77,$L$3^($L$1-$M77),($L$3*N78*O78/(N78+($L$3-1)*O78)))))</f>
        <v>#DIV/0!</v>
      </c>
      <c r="O77" s="10" t="e">
        <f t="shared" si="86"/>
        <v>#DIV/0!</v>
      </c>
      <c r="P77" s="10">
        <f t="shared" si="86"/>
        <v>1</v>
      </c>
      <c r="Q77" s="10" t="str">
        <f t="shared" si="86"/>
        <v/>
      </c>
      <c r="R77" s="10" t="str">
        <f t="shared" si="86"/>
        <v/>
      </c>
      <c r="S77" s="10" t="str">
        <f t="shared" si="86"/>
        <v/>
      </c>
      <c r="T77" s="10" t="str">
        <f t="shared" si="86"/>
        <v/>
      </c>
      <c r="U77" s="10" t="str">
        <f t="shared" si="86"/>
        <v/>
      </c>
      <c r="V77" s="10" t="str">
        <f t="shared" si="86"/>
        <v/>
      </c>
      <c r="W77" s="10" t="str">
        <f t="shared" si="86"/>
        <v/>
      </c>
      <c r="X77" s="10" t="str">
        <f t="shared" si="86"/>
        <v/>
      </c>
      <c r="Y77" s="10" t="str">
        <f t="shared" si="86"/>
        <v/>
      </c>
      <c r="Z77" s="10" t="str">
        <f t="shared" si="86"/>
        <v/>
      </c>
      <c r="AA77" s="10" t="str">
        <f t="shared" si="86"/>
        <v/>
      </c>
      <c r="AB77" s="10" t="str">
        <f t="shared" si="86"/>
        <v/>
      </c>
      <c r="AC77" s="10" t="str">
        <f t="shared" si="86"/>
        <v/>
      </c>
      <c r="AD77" s="10" t="str">
        <f t="shared" si="86"/>
        <v/>
      </c>
      <c r="AE77" s="10" t="str">
        <f t="shared" si="86"/>
        <v/>
      </c>
      <c r="AF77" s="10" t="str">
        <f t="shared" si="86"/>
        <v/>
      </c>
      <c r="AG77" s="10" t="str">
        <f t="shared" si="86"/>
        <v/>
      </c>
      <c r="AH77" s="10" t="str">
        <f t="shared" si="86"/>
        <v/>
      </c>
      <c r="AI77" s="10" t="str">
        <f t="shared" si="86"/>
        <v/>
      </c>
      <c r="AJ77" s="10" t="str">
        <f t="shared" si="86"/>
        <v/>
      </c>
      <c r="AK77" s="10" t="str">
        <f t="shared" si="86"/>
        <v/>
      </c>
      <c r="AL77" s="10" t="str">
        <f t="shared" si="86"/>
        <v/>
      </c>
      <c r="AM77" s="10" t="str">
        <f t="shared" si="86"/>
        <v/>
      </c>
      <c r="AN77" s="10" t="str">
        <f t="shared" si="86"/>
        <v/>
      </c>
      <c r="AO77" s="10" t="str">
        <f t="shared" si="86"/>
        <v/>
      </c>
      <c r="AP77" s="10" t="str">
        <f t="shared" si="86"/>
        <v/>
      </c>
      <c r="AQ77" s="10" t="str">
        <f t="shared" si="86"/>
        <v/>
      </c>
      <c r="AR77" s="10" t="str">
        <f t="shared" si="86"/>
        <v/>
      </c>
      <c r="AS77" s="10" t="str">
        <f t="shared" si="86"/>
        <v/>
      </c>
      <c r="AT77" s="10" t="str">
        <f t="shared" si="86"/>
        <v/>
      </c>
      <c r="AU77" s="10" t="str">
        <f t="shared" si="86"/>
        <v/>
      </c>
      <c r="AV77" s="10" t="str">
        <f t="shared" si="86"/>
        <v/>
      </c>
      <c r="AW77" s="10" t="str">
        <f t="shared" si="86"/>
        <v/>
      </c>
      <c r="AX77" s="10" t="str">
        <f t="shared" si="86"/>
        <v/>
      </c>
      <c r="AY77" s="10" t="str">
        <f t="shared" si="86"/>
        <v/>
      </c>
      <c r="AZ77" s="10" t="str">
        <f t="shared" si="86"/>
        <v/>
      </c>
      <c r="BA77" s="10" t="str">
        <f t="shared" si="86"/>
        <v/>
      </c>
      <c r="BB77" s="10" t="str">
        <f t="shared" si="86"/>
        <v/>
      </c>
      <c r="BC77" s="10" t="str">
        <f t="shared" si="86"/>
        <v/>
      </c>
      <c r="BD77" s="10" t="str">
        <f t="shared" si="86"/>
        <v/>
      </c>
      <c r="BE77" s="10" t="str">
        <f t="shared" si="86"/>
        <v/>
      </c>
      <c r="BF77" s="10" t="str">
        <f t="shared" si="86"/>
        <v/>
      </c>
      <c r="BG77" s="10" t="str">
        <f t="shared" si="86"/>
        <v/>
      </c>
      <c r="BH77" s="10" t="str">
        <f t="shared" si="86"/>
        <v/>
      </c>
      <c r="BI77" s="10" t="str">
        <f t="shared" si="86"/>
        <v/>
      </c>
      <c r="BJ77" s="10" t="str">
        <f t="shared" si="86"/>
        <v/>
      </c>
      <c r="BK77" s="10" t="str">
        <f t="shared" si="86"/>
        <v/>
      </c>
      <c r="BL77" s="10" t="str">
        <f t="shared" si="86"/>
        <v/>
      </c>
      <c r="BM77" s="10" t="str">
        <f t="shared" si="86"/>
        <v/>
      </c>
      <c r="BN77" s="10" t="str">
        <f t="shared" si="86"/>
        <v/>
      </c>
      <c r="BO77" s="10" t="str">
        <f t="shared" si="86"/>
        <v/>
      </c>
      <c r="BP77" s="10" t="str">
        <f t="shared" si="86"/>
        <v/>
      </c>
      <c r="BQ77" s="10" t="str">
        <f t="shared" si="86"/>
        <v/>
      </c>
      <c r="BR77" s="10" t="str">
        <f t="shared" si="86"/>
        <v/>
      </c>
      <c r="BS77" s="10" t="str">
        <f t="shared" si="86"/>
        <v/>
      </c>
      <c r="BT77" s="10" t="str">
        <f t="shared" si="86"/>
        <v/>
      </c>
      <c r="BU77" s="10" t="str">
        <f t="shared" si="86"/>
        <v/>
      </c>
      <c r="BV77" s="10" t="str">
        <f t="shared" si="86"/>
        <v/>
      </c>
      <c r="BW77" s="10" t="str">
        <f t="shared" si="86"/>
        <v/>
      </c>
      <c r="BX77" s="10" t="str">
        <f t="shared" si="86"/>
        <v/>
      </c>
      <c r="BY77" s="10" t="str">
        <f t="shared" si="86"/>
        <v/>
      </c>
      <c r="BZ77" s="10" t="str">
        <f t="shared" si="86"/>
        <v/>
      </c>
      <c r="CA77" s="10" t="str">
        <f t="shared" si="86"/>
        <v/>
      </c>
      <c r="CB77" s="10" t="str">
        <f t="shared" si="86"/>
        <v/>
      </c>
      <c r="CC77" s="10" t="str">
        <f t="shared" si="86"/>
        <v/>
      </c>
      <c r="CD77" s="10" t="str">
        <f t="shared" si="86"/>
        <v/>
      </c>
      <c r="CE77" s="10" t="str">
        <f t="shared" si="86"/>
        <v/>
      </c>
      <c r="CF77" s="10" t="str">
        <f t="shared" si="86"/>
        <v/>
      </c>
      <c r="CG77" s="10" t="str">
        <f t="shared" si="86"/>
        <v/>
      </c>
      <c r="CH77" s="10" t="str">
        <f t="shared" si="86"/>
        <v/>
      </c>
      <c r="CI77" s="10" t="str">
        <f t="shared" si="86"/>
        <v/>
      </c>
      <c r="CJ77" s="10" t="str">
        <f t="shared" si="86"/>
        <v/>
      </c>
      <c r="CK77" s="10" t="str">
        <f t="shared" si="86"/>
        <v/>
      </c>
      <c r="CL77" s="10" t="str">
        <f t="shared" si="86"/>
        <v/>
      </c>
      <c r="CM77" s="10" t="str">
        <f t="shared" si="86"/>
        <v/>
      </c>
      <c r="CN77" s="10" t="str">
        <f t="shared" si="86"/>
        <v/>
      </c>
      <c r="CO77" s="10" t="str">
        <f t="shared" si="86"/>
        <v/>
      </c>
      <c r="CP77" s="10" t="str">
        <f t="shared" si="86"/>
        <v/>
      </c>
      <c r="CQ77" s="10" t="str">
        <f t="shared" si="86"/>
        <v/>
      </c>
      <c r="CR77" s="10" t="str">
        <f t="shared" si="86"/>
        <v/>
      </c>
      <c r="CS77" s="10" t="str">
        <f t="shared" si="86"/>
        <v/>
      </c>
      <c r="CT77" s="10" t="str">
        <f t="shared" si="86"/>
        <v/>
      </c>
      <c r="CU77" s="10" t="str">
        <f t="shared" si="86"/>
        <v/>
      </c>
      <c r="CV77" s="10" t="str">
        <f t="shared" si="86"/>
        <v/>
      </c>
      <c r="CW77" s="10" t="str">
        <f t="shared" si="86"/>
        <v/>
      </c>
      <c r="CX77" s="10" t="str">
        <f t="shared" si="86"/>
        <v/>
      </c>
      <c r="CY77" s="10" t="str">
        <f t="shared" si="86"/>
        <v/>
      </c>
      <c r="CZ77" s="10" t="str">
        <f t="shared" si="86"/>
        <v/>
      </c>
      <c r="DA77" s="10" t="str">
        <f t="shared" si="86"/>
        <v/>
      </c>
      <c r="DB77" s="10" t="str">
        <f t="shared" si="86"/>
        <v/>
      </c>
      <c r="DC77" s="10" t="str">
        <f t="shared" si="86"/>
        <v/>
      </c>
      <c r="DD77" s="10" t="str">
        <f t="shared" si="86"/>
        <v/>
      </c>
      <c r="DE77" s="10" t="str">
        <f t="shared" si="86"/>
        <v/>
      </c>
      <c r="DF77" s="10" t="str">
        <f t="shared" si="86"/>
        <v/>
      </c>
      <c r="DG77" s="10" t="str">
        <f t="shared" si="86"/>
        <v/>
      </c>
      <c r="DH77" s="10" t="str">
        <f t="shared" si="86"/>
        <v/>
      </c>
      <c r="DI77" s="10" t="str">
        <f t="shared" si="86"/>
        <v/>
      </c>
      <c r="DJ77" s="10" t="str">
        <f t="shared" si="86"/>
        <v/>
      </c>
    </row>
    <row r="78" spans="1:114" ht="13.5" customHeight="1">
      <c r="A78" s="1">
        <f>Gerenciamento!D78</f>
        <v>0</v>
      </c>
      <c r="B78" s="1" t="e">
        <f t="shared" si="2"/>
        <v>#VALUE!</v>
      </c>
      <c r="C78" s="2" t="e">
        <f t="shared" si="6"/>
        <v>#VALUE!</v>
      </c>
      <c r="D78" s="2" t="e">
        <f t="shared" si="7"/>
        <v>#VALUE!</v>
      </c>
      <c r="E78" s="2" t="e">
        <f t="shared" si="8"/>
        <v>#VALUE!</v>
      </c>
      <c r="F78" s="2" t="e">
        <f t="shared" si="9"/>
        <v>#VALUE!</v>
      </c>
      <c r="G78" s="5" t="e">
        <f t="shared" si="15"/>
        <v>#VALUE!</v>
      </c>
      <c r="H78" s="1" t="e">
        <f t="shared" si="10"/>
        <v>#VALUE!</v>
      </c>
      <c r="I78" s="1" t="e">
        <f t="shared" si="12"/>
        <v>#VALUE!</v>
      </c>
      <c r="J78" s="6" t="e">
        <f t="shared" si="3"/>
        <v>#VALUE!</v>
      </c>
      <c r="M78" s="9" t="b">
        <f t="shared" si="4"/>
        <v>0</v>
      </c>
      <c r="N78" s="10" t="e">
        <f t="shared" ref="N78:DJ78" si="87">IF(N$1&gt;$L$2,"",IF(N$1=$L$2,1,IF($L$2-N$1=$L$1-$M78,$L$3^($L$1-$M78),($L$3*N79*O79/(N79+($L$3-1)*O79)))))</f>
        <v>#DIV/0!</v>
      </c>
      <c r="O78" s="10" t="e">
        <f t="shared" si="87"/>
        <v>#DIV/0!</v>
      </c>
      <c r="P78" s="10">
        <f t="shared" si="87"/>
        <v>1</v>
      </c>
      <c r="Q78" s="10" t="str">
        <f t="shared" si="87"/>
        <v/>
      </c>
      <c r="R78" s="10" t="str">
        <f t="shared" si="87"/>
        <v/>
      </c>
      <c r="S78" s="10" t="str">
        <f t="shared" si="87"/>
        <v/>
      </c>
      <c r="T78" s="10" t="str">
        <f t="shared" si="87"/>
        <v/>
      </c>
      <c r="U78" s="10" t="str">
        <f t="shared" si="87"/>
        <v/>
      </c>
      <c r="V78" s="10" t="str">
        <f t="shared" si="87"/>
        <v/>
      </c>
      <c r="W78" s="10" t="str">
        <f t="shared" si="87"/>
        <v/>
      </c>
      <c r="X78" s="10" t="str">
        <f t="shared" si="87"/>
        <v/>
      </c>
      <c r="Y78" s="10" t="str">
        <f t="shared" si="87"/>
        <v/>
      </c>
      <c r="Z78" s="10" t="str">
        <f t="shared" si="87"/>
        <v/>
      </c>
      <c r="AA78" s="10" t="str">
        <f t="shared" si="87"/>
        <v/>
      </c>
      <c r="AB78" s="10" t="str">
        <f t="shared" si="87"/>
        <v/>
      </c>
      <c r="AC78" s="10" t="str">
        <f t="shared" si="87"/>
        <v/>
      </c>
      <c r="AD78" s="10" t="str">
        <f t="shared" si="87"/>
        <v/>
      </c>
      <c r="AE78" s="10" t="str">
        <f t="shared" si="87"/>
        <v/>
      </c>
      <c r="AF78" s="10" t="str">
        <f t="shared" si="87"/>
        <v/>
      </c>
      <c r="AG78" s="10" t="str">
        <f t="shared" si="87"/>
        <v/>
      </c>
      <c r="AH78" s="10" t="str">
        <f t="shared" si="87"/>
        <v/>
      </c>
      <c r="AI78" s="10" t="str">
        <f t="shared" si="87"/>
        <v/>
      </c>
      <c r="AJ78" s="10" t="str">
        <f t="shared" si="87"/>
        <v/>
      </c>
      <c r="AK78" s="10" t="str">
        <f t="shared" si="87"/>
        <v/>
      </c>
      <c r="AL78" s="10" t="str">
        <f t="shared" si="87"/>
        <v/>
      </c>
      <c r="AM78" s="10" t="str">
        <f t="shared" si="87"/>
        <v/>
      </c>
      <c r="AN78" s="10" t="str">
        <f t="shared" si="87"/>
        <v/>
      </c>
      <c r="AO78" s="10" t="str">
        <f t="shared" si="87"/>
        <v/>
      </c>
      <c r="AP78" s="10" t="str">
        <f t="shared" si="87"/>
        <v/>
      </c>
      <c r="AQ78" s="10" t="str">
        <f t="shared" si="87"/>
        <v/>
      </c>
      <c r="AR78" s="10" t="str">
        <f t="shared" si="87"/>
        <v/>
      </c>
      <c r="AS78" s="10" t="str">
        <f t="shared" si="87"/>
        <v/>
      </c>
      <c r="AT78" s="10" t="str">
        <f t="shared" si="87"/>
        <v/>
      </c>
      <c r="AU78" s="10" t="str">
        <f t="shared" si="87"/>
        <v/>
      </c>
      <c r="AV78" s="10" t="str">
        <f t="shared" si="87"/>
        <v/>
      </c>
      <c r="AW78" s="10" t="str">
        <f t="shared" si="87"/>
        <v/>
      </c>
      <c r="AX78" s="10" t="str">
        <f t="shared" si="87"/>
        <v/>
      </c>
      <c r="AY78" s="10" t="str">
        <f t="shared" si="87"/>
        <v/>
      </c>
      <c r="AZ78" s="10" t="str">
        <f t="shared" si="87"/>
        <v/>
      </c>
      <c r="BA78" s="10" t="str">
        <f t="shared" si="87"/>
        <v/>
      </c>
      <c r="BB78" s="10" t="str">
        <f t="shared" si="87"/>
        <v/>
      </c>
      <c r="BC78" s="10" t="str">
        <f t="shared" si="87"/>
        <v/>
      </c>
      <c r="BD78" s="10" t="str">
        <f t="shared" si="87"/>
        <v/>
      </c>
      <c r="BE78" s="10" t="str">
        <f t="shared" si="87"/>
        <v/>
      </c>
      <c r="BF78" s="10" t="str">
        <f t="shared" si="87"/>
        <v/>
      </c>
      <c r="BG78" s="10" t="str">
        <f t="shared" si="87"/>
        <v/>
      </c>
      <c r="BH78" s="10" t="str">
        <f t="shared" si="87"/>
        <v/>
      </c>
      <c r="BI78" s="10" t="str">
        <f t="shared" si="87"/>
        <v/>
      </c>
      <c r="BJ78" s="10" t="str">
        <f t="shared" si="87"/>
        <v/>
      </c>
      <c r="BK78" s="10" t="str">
        <f t="shared" si="87"/>
        <v/>
      </c>
      <c r="BL78" s="10" t="str">
        <f t="shared" si="87"/>
        <v/>
      </c>
      <c r="BM78" s="10" t="str">
        <f t="shared" si="87"/>
        <v/>
      </c>
      <c r="BN78" s="10" t="str">
        <f t="shared" si="87"/>
        <v/>
      </c>
      <c r="BO78" s="10" t="str">
        <f t="shared" si="87"/>
        <v/>
      </c>
      <c r="BP78" s="10" t="str">
        <f t="shared" si="87"/>
        <v/>
      </c>
      <c r="BQ78" s="10" t="str">
        <f t="shared" si="87"/>
        <v/>
      </c>
      <c r="BR78" s="10" t="str">
        <f t="shared" si="87"/>
        <v/>
      </c>
      <c r="BS78" s="10" t="str">
        <f t="shared" si="87"/>
        <v/>
      </c>
      <c r="BT78" s="10" t="str">
        <f t="shared" si="87"/>
        <v/>
      </c>
      <c r="BU78" s="10" t="str">
        <f t="shared" si="87"/>
        <v/>
      </c>
      <c r="BV78" s="10" t="str">
        <f t="shared" si="87"/>
        <v/>
      </c>
      <c r="BW78" s="10" t="str">
        <f t="shared" si="87"/>
        <v/>
      </c>
      <c r="BX78" s="10" t="str">
        <f t="shared" si="87"/>
        <v/>
      </c>
      <c r="BY78" s="10" t="str">
        <f t="shared" si="87"/>
        <v/>
      </c>
      <c r="BZ78" s="10" t="str">
        <f t="shared" si="87"/>
        <v/>
      </c>
      <c r="CA78" s="10" t="str">
        <f t="shared" si="87"/>
        <v/>
      </c>
      <c r="CB78" s="10" t="str">
        <f t="shared" si="87"/>
        <v/>
      </c>
      <c r="CC78" s="10" t="str">
        <f t="shared" si="87"/>
        <v/>
      </c>
      <c r="CD78" s="10" t="str">
        <f t="shared" si="87"/>
        <v/>
      </c>
      <c r="CE78" s="10" t="str">
        <f t="shared" si="87"/>
        <v/>
      </c>
      <c r="CF78" s="10" t="str">
        <f t="shared" si="87"/>
        <v/>
      </c>
      <c r="CG78" s="10" t="str">
        <f t="shared" si="87"/>
        <v/>
      </c>
      <c r="CH78" s="10" t="str">
        <f t="shared" si="87"/>
        <v/>
      </c>
      <c r="CI78" s="10" t="str">
        <f t="shared" si="87"/>
        <v/>
      </c>
      <c r="CJ78" s="10" t="str">
        <f t="shared" si="87"/>
        <v/>
      </c>
      <c r="CK78" s="10" t="str">
        <f t="shared" si="87"/>
        <v/>
      </c>
      <c r="CL78" s="10" t="str">
        <f t="shared" si="87"/>
        <v/>
      </c>
      <c r="CM78" s="10" t="str">
        <f t="shared" si="87"/>
        <v/>
      </c>
      <c r="CN78" s="10" t="str">
        <f t="shared" si="87"/>
        <v/>
      </c>
      <c r="CO78" s="10" t="str">
        <f t="shared" si="87"/>
        <v/>
      </c>
      <c r="CP78" s="10" t="str">
        <f t="shared" si="87"/>
        <v/>
      </c>
      <c r="CQ78" s="10" t="str">
        <f t="shared" si="87"/>
        <v/>
      </c>
      <c r="CR78" s="10" t="str">
        <f t="shared" si="87"/>
        <v/>
      </c>
      <c r="CS78" s="10" t="str">
        <f t="shared" si="87"/>
        <v/>
      </c>
      <c r="CT78" s="10" t="str">
        <f t="shared" si="87"/>
        <v/>
      </c>
      <c r="CU78" s="10" t="str">
        <f t="shared" si="87"/>
        <v/>
      </c>
      <c r="CV78" s="10" t="str">
        <f t="shared" si="87"/>
        <v/>
      </c>
      <c r="CW78" s="10" t="str">
        <f t="shared" si="87"/>
        <v/>
      </c>
      <c r="CX78" s="10" t="str">
        <f t="shared" si="87"/>
        <v/>
      </c>
      <c r="CY78" s="10" t="str">
        <f t="shared" si="87"/>
        <v/>
      </c>
      <c r="CZ78" s="10" t="str">
        <f t="shared" si="87"/>
        <v/>
      </c>
      <c r="DA78" s="10" t="str">
        <f t="shared" si="87"/>
        <v/>
      </c>
      <c r="DB78" s="10" t="str">
        <f t="shared" si="87"/>
        <v/>
      </c>
      <c r="DC78" s="10" t="str">
        <f t="shared" si="87"/>
        <v/>
      </c>
      <c r="DD78" s="10" t="str">
        <f t="shared" si="87"/>
        <v/>
      </c>
      <c r="DE78" s="10" t="str">
        <f t="shared" si="87"/>
        <v/>
      </c>
      <c r="DF78" s="10" t="str">
        <f t="shared" si="87"/>
        <v/>
      </c>
      <c r="DG78" s="10" t="str">
        <f t="shared" si="87"/>
        <v/>
      </c>
      <c r="DH78" s="10" t="str">
        <f t="shared" si="87"/>
        <v/>
      </c>
      <c r="DI78" s="10" t="str">
        <f t="shared" si="87"/>
        <v/>
      </c>
      <c r="DJ78" s="10" t="str">
        <f t="shared" si="87"/>
        <v/>
      </c>
    </row>
    <row r="79" spans="1:114" ht="13.5" customHeight="1">
      <c r="A79" s="1">
        <f>Gerenciamento!D79</f>
        <v>0</v>
      </c>
      <c r="B79" s="1" t="e">
        <f t="shared" si="2"/>
        <v>#VALUE!</v>
      </c>
      <c r="C79" s="2" t="e">
        <f t="shared" si="6"/>
        <v>#VALUE!</v>
      </c>
      <c r="D79" s="2" t="e">
        <f t="shared" si="7"/>
        <v>#VALUE!</v>
      </c>
      <c r="E79" s="2" t="e">
        <f t="shared" si="8"/>
        <v>#VALUE!</v>
      </c>
      <c r="F79" s="2" t="e">
        <f t="shared" si="9"/>
        <v>#VALUE!</v>
      </c>
      <c r="G79" s="5" t="e">
        <f t="shared" si="15"/>
        <v>#VALUE!</v>
      </c>
      <c r="H79" s="1" t="e">
        <f t="shared" si="10"/>
        <v>#VALUE!</v>
      </c>
      <c r="I79" s="1" t="e">
        <f t="shared" si="12"/>
        <v>#VALUE!</v>
      </c>
      <c r="J79" s="6" t="e">
        <f t="shared" si="3"/>
        <v>#VALUE!</v>
      </c>
      <c r="M79" s="9" t="b">
        <f t="shared" si="4"/>
        <v>0</v>
      </c>
      <c r="N79" s="10" t="e">
        <f t="shared" ref="N79:DJ79" si="88">IF(N$1&gt;$L$2,"",IF(N$1=$L$2,1,IF($L$2-N$1=$L$1-$M79,$L$3^($L$1-$M79),($L$3*N80*O80/(N80+($L$3-1)*O80)))))</f>
        <v>#DIV/0!</v>
      </c>
      <c r="O79" s="10" t="e">
        <f t="shared" si="88"/>
        <v>#DIV/0!</v>
      </c>
      <c r="P79" s="10">
        <f t="shared" si="88"/>
        <v>1</v>
      </c>
      <c r="Q79" s="10" t="str">
        <f t="shared" si="88"/>
        <v/>
      </c>
      <c r="R79" s="10" t="str">
        <f t="shared" si="88"/>
        <v/>
      </c>
      <c r="S79" s="10" t="str">
        <f t="shared" si="88"/>
        <v/>
      </c>
      <c r="T79" s="10" t="str">
        <f t="shared" si="88"/>
        <v/>
      </c>
      <c r="U79" s="10" t="str">
        <f t="shared" si="88"/>
        <v/>
      </c>
      <c r="V79" s="10" t="str">
        <f t="shared" si="88"/>
        <v/>
      </c>
      <c r="W79" s="10" t="str">
        <f t="shared" si="88"/>
        <v/>
      </c>
      <c r="X79" s="10" t="str">
        <f t="shared" si="88"/>
        <v/>
      </c>
      <c r="Y79" s="10" t="str">
        <f t="shared" si="88"/>
        <v/>
      </c>
      <c r="Z79" s="10" t="str">
        <f t="shared" si="88"/>
        <v/>
      </c>
      <c r="AA79" s="10" t="str">
        <f t="shared" si="88"/>
        <v/>
      </c>
      <c r="AB79" s="10" t="str">
        <f t="shared" si="88"/>
        <v/>
      </c>
      <c r="AC79" s="10" t="str">
        <f t="shared" si="88"/>
        <v/>
      </c>
      <c r="AD79" s="10" t="str">
        <f t="shared" si="88"/>
        <v/>
      </c>
      <c r="AE79" s="10" t="str">
        <f t="shared" si="88"/>
        <v/>
      </c>
      <c r="AF79" s="10" t="str">
        <f t="shared" si="88"/>
        <v/>
      </c>
      <c r="AG79" s="10" t="str">
        <f t="shared" si="88"/>
        <v/>
      </c>
      <c r="AH79" s="10" t="str">
        <f t="shared" si="88"/>
        <v/>
      </c>
      <c r="AI79" s="10" t="str">
        <f t="shared" si="88"/>
        <v/>
      </c>
      <c r="AJ79" s="10" t="str">
        <f t="shared" si="88"/>
        <v/>
      </c>
      <c r="AK79" s="10" t="str">
        <f t="shared" si="88"/>
        <v/>
      </c>
      <c r="AL79" s="10" t="str">
        <f t="shared" si="88"/>
        <v/>
      </c>
      <c r="AM79" s="10" t="str">
        <f t="shared" si="88"/>
        <v/>
      </c>
      <c r="AN79" s="10" t="str">
        <f t="shared" si="88"/>
        <v/>
      </c>
      <c r="AO79" s="10" t="str">
        <f t="shared" si="88"/>
        <v/>
      </c>
      <c r="AP79" s="10" t="str">
        <f t="shared" si="88"/>
        <v/>
      </c>
      <c r="AQ79" s="10" t="str">
        <f t="shared" si="88"/>
        <v/>
      </c>
      <c r="AR79" s="10" t="str">
        <f t="shared" si="88"/>
        <v/>
      </c>
      <c r="AS79" s="10" t="str">
        <f t="shared" si="88"/>
        <v/>
      </c>
      <c r="AT79" s="10" t="str">
        <f t="shared" si="88"/>
        <v/>
      </c>
      <c r="AU79" s="10" t="str">
        <f t="shared" si="88"/>
        <v/>
      </c>
      <c r="AV79" s="10" t="str">
        <f t="shared" si="88"/>
        <v/>
      </c>
      <c r="AW79" s="10" t="str">
        <f t="shared" si="88"/>
        <v/>
      </c>
      <c r="AX79" s="10" t="str">
        <f t="shared" si="88"/>
        <v/>
      </c>
      <c r="AY79" s="10" t="str">
        <f t="shared" si="88"/>
        <v/>
      </c>
      <c r="AZ79" s="10" t="str">
        <f t="shared" si="88"/>
        <v/>
      </c>
      <c r="BA79" s="10" t="str">
        <f t="shared" si="88"/>
        <v/>
      </c>
      <c r="BB79" s="10" t="str">
        <f t="shared" si="88"/>
        <v/>
      </c>
      <c r="BC79" s="10" t="str">
        <f t="shared" si="88"/>
        <v/>
      </c>
      <c r="BD79" s="10" t="str">
        <f t="shared" si="88"/>
        <v/>
      </c>
      <c r="BE79" s="10" t="str">
        <f t="shared" si="88"/>
        <v/>
      </c>
      <c r="BF79" s="10" t="str">
        <f t="shared" si="88"/>
        <v/>
      </c>
      <c r="BG79" s="10" t="str">
        <f t="shared" si="88"/>
        <v/>
      </c>
      <c r="BH79" s="10" t="str">
        <f t="shared" si="88"/>
        <v/>
      </c>
      <c r="BI79" s="10" t="str">
        <f t="shared" si="88"/>
        <v/>
      </c>
      <c r="BJ79" s="10" t="str">
        <f t="shared" si="88"/>
        <v/>
      </c>
      <c r="BK79" s="10" t="str">
        <f t="shared" si="88"/>
        <v/>
      </c>
      <c r="BL79" s="10" t="str">
        <f t="shared" si="88"/>
        <v/>
      </c>
      <c r="BM79" s="10" t="str">
        <f t="shared" si="88"/>
        <v/>
      </c>
      <c r="BN79" s="10" t="str">
        <f t="shared" si="88"/>
        <v/>
      </c>
      <c r="BO79" s="10" t="str">
        <f t="shared" si="88"/>
        <v/>
      </c>
      <c r="BP79" s="10" t="str">
        <f t="shared" si="88"/>
        <v/>
      </c>
      <c r="BQ79" s="10" t="str">
        <f t="shared" si="88"/>
        <v/>
      </c>
      <c r="BR79" s="10" t="str">
        <f t="shared" si="88"/>
        <v/>
      </c>
      <c r="BS79" s="10" t="str">
        <f t="shared" si="88"/>
        <v/>
      </c>
      <c r="BT79" s="10" t="str">
        <f t="shared" si="88"/>
        <v/>
      </c>
      <c r="BU79" s="10" t="str">
        <f t="shared" si="88"/>
        <v/>
      </c>
      <c r="BV79" s="10" t="str">
        <f t="shared" si="88"/>
        <v/>
      </c>
      <c r="BW79" s="10" t="str">
        <f t="shared" si="88"/>
        <v/>
      </c>
      <c r="BX79" s="10" t="str">
        <f t="shared" si="88"/>
        <v/>
      </c>
      <c r="BY79" s="10" t="str">
        <f t="shared" si="88"/>
        <v/>
      </c>
      <c r="BZ79" s="10" t="str">
        <f t="shared" si="88"/>
        <v/>
      </c>
      <c r="CA79" s="10" t="str">
        <f t="shared" si="88"/>
        <v/>
      </c>
      <c r="CB79" s="10" t="str">
        <f t="shared" si="88"/>
        <v/>
      </c>
      <c r="CC79" s="10" t="str">
        <f t="shared" si="88"/>
        <v/>
      </c>
      <c r="CD79" s="10" t="str">
        <f t="shared" si="88"/>
        <v/>
      </c>
      <c r="CE79" s="10" t="str">
        <f t="shared" si="88"/>
        <v/>
      </c>
      <c r="CF79" s="10" t="str">
        <f t="shared" si="88"/>
        <v/>
      </c>
      <c r="CG79" s="10" t="str">
        <f t="shared" si="88"/>
        <v/>
      </c>
      <c r="CH79" s="10" t="str">
        <f t="shared" si="88"/>
        <v/>
      </c>
      <c r="CI79" s="10" t="str">
        <f t="shared" si="88"/>
        <v/>
      </c>
      <c r="CJ79" s="10" t="str">
        <f t="shared" si="88"/>
        <v/>
      </c>
      <c r="CK79" s="10" t="str">
        <f t="shared" si="88"/>
        <v/>
      </c>
      <c r="CL79" s="10" t="str">
        <f t="shared" si="88"/>
        <v/>
      </c>
      <c r="CM79" s="10" t="str">
        <f t="shared" si="88"/>
        <v/>
      </c>
      <c r="CN79" s="10" t="str">
        <f t="shared" si="88"/>
        <v/>
      </c>
      <c r="CO79" s="10" t="str">
        <f t="shared" si="88"/>
        <v/>
      </c>
      <c r="CP79" s="10" t="str">
        <f t="shared" si="88"/>
        <v/>
      </c>
      <c r="CQ79" s="10" t="str">
        <f t="shared" si="88"/>
        <v/>
      </c>
      <c r="CR79" s="10" t="str">
        <f t="shared" si="88"/>
        <v/>
      </c>
      <c r="CS79" s="10" t="str">
        <f t="shared" si="88"/>
        <v/>
      </c>
      <c r="CT79" s="10" t="str">
        <f t="shared" si="88"/>
        <v/>
      </c>
      <c r="CU79" s="10" t="str">
        <f t="shared" si="88"/>
        <v/>
      </c>
      <c r="CV79" s="10" t="str">
        <f t="shared" si="88"/>
        <v/>
      </c>
      <c r="CW79" s="10" t="str">
        <f t="shared" si="88"/>
        <v/>
      </c>
      <c r="CX79" s="10" t="str">
        <f t="shared" si="88"/>
        <v/>
      </c>
      <c r="CY79" s="10" t="str">
        <f t="shared" si="88"/>
        <v/>
      </c>
      <c r="CZ79" s="10" t="str">
        <f t="shared" si="88"/>
        <v/>
      </c>
      <c r="DA79" s="10" t="str">
        <f t="shared" si="88"/>
        <v/>
      </c>
      <c r="DB79" s="10" t="str">
        <f t="shared" si="88"/>
        <v/>
      </c>
      <c r="DC79" s="10" t="str">
        <f t="shared" si="88"/>
        <v/>
      </c>
      <c r="DD79" s="10" t="str">
        <f t="shared" si="88"/>
        <v/>
      </c>
      <c r="DE79" s="10" t="str">
        <f t="shared" si="88"/>
        <v/>
      </c>
      <c r="DF79" s="10" t="str">
        <f t="shared" si="88"/>
        <v/>
      </c>
      <c r="DG79" s="10" t="str">
        <f t="shared" si="88"/>
        <v/>
      </c>
      <c r="DH79" s="10" t="str">
        <f t="shared" si="88"/>
        <v/>
      </c>
      <c r="DI79" s="10" t="str">
        <f t="shared" si="88"/>
        <v/>
      </c>
      <c r="DJ79" s="10" t="str">
        <f t="shared" si="88"/>
        <v/>
      </c>
    </row>
    <row r="80" spans="1:114" ht="13.5" customHeight="1">
      <c r="A80" s="1">
        <f>Gerenciamento!D80</f>
        <v>0</v>
      </c>
      <c r="B80" s="1" t="e">
        <f t="shared" si="2"/>
        <v>#VALUE!</v>
      </c>
      <c r="C80" s="2" t="e">
        <f t="shared" si="6"/>
        <v>#VALUE!</v>
      </c>
      <c r="D80" s="2" t="e">
        <f t="shared" si="7"/>
        <v>#VALUE!</v>
      </c>
      <c r="E80" s="2" t="e">
        <f t="shared" si="8"/>
        <v>#VALUE!</v>
      </c>
      <c r="F80" s="2" t="e">
        <f t="shared" si="9"/>
        <v>#VALUE!</v>
      </c>
      <c r="G80" s="5" t="e">
        <f t="shared" si="15"/>
        <v>#VALUE!</v>
      </c>
      <c r="H80" s="1" t="e">
        <f t="shared" si="10"/>
        <v>#VALUE!</v>
      </c>
      <c r="I80" s="1" t="e">
        <f t="shared" si="12"/>
        <v>#VALUE!</v>
      </c>
      <c r="J80" s="6" t="e">
        <f t="shared" si="3"/>
        <v>#VALUE!</v>
      </c>
      <c r="M80" s="9" t="b">
        <f t="shared" si="4"/>
        <v>0</v>
      </c>
      <c r="N80" s="10" t="e">
        <f t="shared" ref="N80:DJ80" si="89">IF(N$1&gt;$L$2,"",IF(N$1=$L$2,1,IF($L$2-N$1=$L$1-$M80,$L$3^($L$1-$M80),($L$3*N81*O81/(N81+($L$3-1)*O81)))))</f>
        <v>#DIV/0!</v>
      </c>
      <c r="O80" s="10" t="e">
        <f t="shared" si="89"/>
        <v>#DIV/0!</v>
      </c>
      <c r="P80" s="10">
        <f t="shared" si="89"/>
        <v>1</v>
      </c>
      <c r="Q80" s="10" t="str">
        <f t="shared" si="89"/>
        <v/>
      </c>
      <c r="R80" s="10" t="str">
        <f t="shared" si="89"/>
        <v/>
      </c>
      <c r="S80" s="10" t="str">
        <f t="shared" si="89"/>
        <v/>
      </c>
      <c r="T80" s="10" t="str">
        <f t="shared" si="89"/>
        <v/>
      </c>
      <c r="U80" s="10" t="str">
        <f t="shared" si="89"/>
        <v/>
      </c>
      <c r="V80" s="10" t="str">
        <f t="shared" si="89"/>
        <v/>
      </c>
      <c r="W80" s="10" t="str">
        <f t="shared" si="89"/>
        <v/>
      </c>
      <c r="X80" s="10" t="str">
        <f t="shared" si="89"/>
        <v/>
      </c>
      <c r="Y80" s="10" t="str">
        <f t="shared" si="89"/>
        <v/>
      </c>
      <c r="Z80" s="10" t="str">
        <f t="shared" si="89"/>
        <v/>
      </c>
      <c r="AA80" s="10" t="str">
        <f t="shared" si="89"/>
        <v/>
      </c>
      <c r="AB80" s="10" t="str">
        <f t="shared" si="89"/>
        <v/>
      </c>
      <c r="AC80" s="10" t="str">
        <f t="shared" si="89"/>
        <v/>
      </c>
      <c r="AD80" s="10" t="str">
        <f t="shared" si="89"/>
        <v/>
      </c>
      <c r="AE80" s="10" t="str">
        <f t="shared" si="89"/>
        <v/>
      </c>
      <c r="AF80" s="10" t="str">
        <f t="shared" si="89"/>
        <v/>
      </c>
      <c r="AG80" s="10" t="str">
        <f t="shared" si="89"/>
        <v/>
      </c>
      <c r="AH80" s="10" t="str">
        <f t="shared" si="89"/>
        <v/>
      </c>
      <c r="AI80" s="10" t="str">
        <f t="shared" si="89"/>
        <v/>
      </c>
      <c r="AJ80" s="10" t="str">
        <f t="shared" si="89"/>
        <v/>
      </c>
      <c r="AK80" s="10" t="str">
        <f t="shared" si="89"/>
        <v/>
      </c>
      <c r="AL80" s="10" t="str">
        <f t="shared" si="89"/>
        <v/>
      </c>
      <c r="AM80" s="10" t="str">
        <f t="shared" si="89"/>
        <v/>
      </c>
      <c r="AN80" s="10" t="str">
        <f t="shared" si="89"/>
        <v/>
      </c>
      <c r="AO80" s="10" t="str">
        <f t="shared" si="89"/>
        <v/>
      </c>
      <c r="AP80" s="10" t="str">
        <f t="shared" si="89"/>
        <v/>
      </c>
      <c r="AQ80" s="10" t="str">
        <f t="shared" si="89"/>
        <v/>
      </c>
      <c r="AR80" s="10" t="str">
        <f t="shared" si="89"/>
        <v/>
      </c>
      <c r="AS80" s="10" t="str">
        <f t="shared" si="89"/>
        <v/>
      </c>
      <c r="AT80" s="10" t="str">
        <f t="shared" si="89"/>
        <v/>
      </c>
      <c r="AU80" s="10" t="str">
        <f t="shared" si="89"/>
        <v/>
      </c>
      <c r="AV80" s="10" t="str">
        <f t="shared" si="89"/>
        <v/>
      </c>
      <c r="AW80" s="10" t="str">
        <f t="shared" si="89"/>
        <v/>
      </c>
      <c r="AX80" s="10" t="str">
        <f t="shared" si="89"/>
        <v/>
      </c>
      <c r="AY80" s="10" t="str">
        <f t="shared" si="89"/>
        <v/>
      </c>
      <c r="AZ80" s="10" t="str">
        <f t="shared" si="89"/>
        <v/>
      </c>
      <c r="BA80" s="10" t="str">
        <f t="shared" si="89"/>
        <v/>
      </c>
      <c r="BB80" s="10" t="str">
        <f t="shared" si="89"/>
        <v/>
      </c>
      <c r="BC80" s="10" t="str">
        <f t="shared" si="89"/>
        <v/>
      </c>
      <c r="BD80" s="10" t="str">
        <f t="shared" si="89"/>
        <v/>
      </c>
      <c r="BE80" s="10" t="str">
        <f t="shared" si="89"/>
        <v/>
      </c>
      <c r="BF80" s="10" t="str">
        <f t="shared" si="89"/>
        <v/>
      </c>
      <c r="BG80" s="10" t="str">
        <f t="shared" si="89"/>
        <v/>
      </c>
      <c r="BH80" s="10" t="str">
        <f t="shared" si="89"/>
        <v/>
      </c>
      <c r="BI80" s="10" t="str">
        <f t="shared" si="89"/>
        <v/>
      </c>
      <c r="BJ80" s="10" t="str">
        <f t="shared" si="89"/>
        <v/>
      </c>
      <c r="BK80" s="10" t="str">
        <f t="shared" si="89"/>
        <v/>
      </c>
      <c r="BL80" s="10" t="str">
        <f t="shared" si="89"/>
        <v/>
      </c>
      <c r="BM80" s="10" t="str">
        <f t="shared" si="89"/>
        <v/>
      </c>
      <c r="BN80" s="10" t="str">
        <f t="shared" si="89"/>
        <v/>
      </c>
      <c r="BO80" s="10" t="str">
        <f t="shared" si="89"/>
        <v/>
      </c>
      <c r="BP80" s="10" t="str">
        <f t="shared" si="89"/>
        <v/>
      </c>
      <c r="BQ80" s="10" t="str">
        <f t="shared" si="89"/>
        <v/>
      </c>
      <c r="BR80" s="10" t="str">
        <f t="shared" si="89"/>
        <v/>
      </c>
      <c r="BS80" s="10" t="str">
        <f t="shared" si="89"/>
        <v/>
      </c>
      <c r="BT80" s="10" t="str">
        <f t="shared" si="89"/>
        <v/>
      </c>
      <c r="BU80" s="10" t="str">
        <f t="shared" si="89"/>
        <v/>
      </c>
      <c r="BV80" s="10" t="str">
        <f t="shared" si="89"/>
        <v/>
      </c>
      <c r="BW80" s="10" t="str">
        <f t="shared" si="89"/>
        <v/>
      </c>
      <c r="BX80" s="10" t="str">
        <f t="shared" si="89"/>
        <v/>
      </c>
      <c r="BY80" s="10" t="str">
        <f t="shared" si="89"/>
        <v/>
      </c>
      <c r="BZ80" s="10" t="str">
        <f t="shared" si="89"/>
        <v/>
      </c>
      <c r="CA80" s="10" t="str">
        <f t="shared" si="89"/>
        <v/>
      </c>
      <c r="CB80" s="10" t="str">
        <f t="shared" si="89"/>
        <v/>
      </c>
      <c r="CC80" s="10" t="str">
        <f t="shared" si="89"/>
        <v/>
      </c>
      <c r="CD80" s="10" t="str">
        <f t="shared" si="89"/>
        <v/>
      </c>
      <c r="CE80" s="10" t="str">
        <f t="shared" si="89"/>
        <v/>
      </c>
      <c r="CF80" s="10" t="str">
        <f t="shared" si="89"/>
        <v/>
      </c>
      <c r="CG80" s="10" t="str">
        <f t="shared" si="89"/>
        <v/>
      </c>
      <c r="CH80" s="10" t="str">
        <f t="shared" si="89"/>
        <v/>
      </c>
      <c r="CI80" s="10" t="str">
        <f t="shared" si="89"/>
        <v/>
      </c>
      <c r="CJ80" s="10" t="str">
        <f t="shared" si="89"/>
        <v/>
      </c>
      <c r="CK80" s="10" t="str">
        <f t="shared" si="89"/>
        <v/>
      </c>
      <c r="CL80" s="10" t="str">
        <f t="shared" si="89"/>
        <v/>
      </c>
      <c r="CM80" s="10" t="str">
        <f t="shared" si="89"/>
        <v/>
      </c>
      <c r="CN80" s="10" t="str">
        <f t="shared" si="89"/>
        <v/>
      </c>
      <c r="CO80" s="10" t="str">
        <f t="shared" si="89"/>
        <v/>
      </c>
      <c r="CP80" s="10" t="str">
        <f t="shared" si="89"/>
        <v/>
      </c>
      <c r="CQ80" s="10" t="str">
        <f t="shared" si="89"/>
        <v/>
      </c>
      <c r="CR80" s="10" t="str">
        <f t="shared" si="89"/>
        <v/>
      </c>
      <c r="CS80" s="10" t="str">
        <f t="shared" si="89"/>
        <v/>
      </c>
      <c r="CT80" s="10" t="str">
        <f t="shared" si="89"/>
        <v/>
      </c>
      <c r="CU80" s="10" t="str">
        <f t="shared" si="89"/>
        <v/>
      </c>
      <c r="CV80" s="10" t="str">
        <f t="shared" si="89"/>
        <v/>
      </c>
      <c r="CW80" s="10" t="str">
        <f t="shared" si="89"/>
        <v/>
      </c>
      <c r="CX80" s="10" t="str">
        <f t="shared" si="89"/>
        <v/>
      </c>
      <c r="CY80" s="10" t="str">
        <f t="shared" si="89"/>
        <v/>
      </c>
      <c r="CZ80" s="10" t="str">
        <f t="shared" si="89"/>
        <v/>
      </c>
      <c r="DA80" s="10" t="str">
        <f t="shared" si="89"/>
        <v/>
      </c>
      <c r="DB80" s="10" t="str">
        <f t="shared" si="89"/>
        <v/>
      </c>
      <c r="DC80" s="10" t="str">
        <f t="shared" si="89"/>
        <v/>
      </c>
      <c r="DD80" s="10" t="str">
        <f t="shared" si="89"/>
        <v/>
      </c>
      <c r="DE80" s="10" t="str">
        <f t="shared" si="89"/>
        <v/>
      </c>
      <c r="DF80" s="10" t="str">
        <f t="shared" si="89"/>
        <v/>
      </c>
      <c r="DG80" s="10" t="str">
        <f t="shared" si="89"/>
        <v/>
      </c>
      <c r="DH80" s="10" t="str">
        <f t="shared" si="89"/>
        <v/>
      </c>
      <c r="DI80" s="10" t="str">
        <f t="shared" si="89"/>
        <v/>
      </c>
      <c r="DJ80" s="10" t="str">
        <f t="shared" si="89"/>
        <v/>
      </c>
    </row>
    <row r="81" spans="1:114" ht="13.5" customHeight="1">
      <c r="A81" s="1">
        <f>Gerenciamento!D81</f>
        <v>0</v>
      </c>
      <c r="B81" s="1" t="e">
        <f t="shared" si="2"/>
        <v>#VALUE!</v>
      </c>
      <c r="C81" s="2" t="e">
        <f t="shared" si="6"/>
        <v>#VALUE!</v>
      </c>
      <c r="D81" s="2" t="e">
        <f t="shared" si="7"/>
        <v>#VALUE!</v>
      </c>
      <c r="E81" s="2" t="e">
        <f t="shared" si="8"/>
        <v>#VALUE!</v>
      </c>
      <c r="F81" s="2" t="e">
        <f t="shared" si="9"/>
        <v>#VALUE!</v>
      </c>
      <c r="G81" s="5" t="e">
        <f t="shared" si="15"/>
        <v>#VALUE!</v>
      </c>
      <c r="H81" s="1" t="e">
        <f t="shared" si="10"/>
        <v>#VALUE!</v>
      </c>
      <c r="I81" s="1" t="e">
        <f t="shared" si="12"/>
        <v>#VALUE!</v>
      </c>
      <c r="J81" s="6" t="e">
        <f t="shared" si="3"/>
        <v>#VALUE!</v>
      </c>
      <c r="M81" s="9" t="b">
        <f t="shared" si="4"/>
        <v>0</v>
      </c>
      <c r="N81" s="10" t="e">
        <f t="shared" ref="N81:DJ81" si="90">IF(N$1&gt;$L$2,"",IF(N$1=$L$2,1,IF($L$2-N$1=$L$1-$M81,$L$3^($L$1-$M81),($L$3*N82*O82/(N82+($L$3-1)*O82)))))</f>
        <v>#DIV/0!</v>
      </c>
      <c r="O81" s="10" t="e">
        <f t="shared" si="90"/>
        <v>#DIV/0!</v>
      </c>
      <c r="P81" s="10">
        <f t="shared" si="90"/>
        <v>1</v>
      </c>
      <c r="Q81" s="10" t="str">
        <f t="shared" si="90"/>
        <v/>
      </c>
      <c r="R81" s="10" t="str">
        <f t="shared" si="90"/>
        <v/>
      </c>
      <c r="S81" s="10" t="str">
        <f t="shared" si="90"/>
        <v/>
      </c>
      <c r="T81" s="10" t="str">
        <f t="shared" si="90"/>
        <v/>
      </c>
      <c r="U81" s="10" t="str">
        <f t="shared" si="90"/>
        <v/>
      </c>
      <c r="V81" s="10" t="str">
        <f t="shared" si="90"/>
        <v/>
      </c>
      <c r="W81" s="10" t="str">
        <f t="shared" si="90"/>
        <v/>
      </c>
      <c r="X81" s="10" t="str">
        <f t="shared" si="90"/>
        <v/>
      </c>
      <c r="Y81" s="10" t="str">
        <f t="shared" si="90"/>
        <v/>
      </c>
      <c r="Z81" s="10" t="str">
        <f t="shared" si="90"/>
        <v/>
      </c>
      <c r="AA81" s="10" t="str">
        <f t="shared" si="90"/>
        <v/>
      </c>
      <c r="AB81" s="10" t="str">
        <f t="shared" si="90"/>
        <v/>
      </c>
      <c r="AC81" s="10" t="str">
        <f t="shared" si="90"/>
        <v/>
      </c>
      <c r="AD81" s="10" t="str">
        <f t="shared" si="90"/>
        <v/>
      </c>
      <c r="AE81" s="10" t="str">
        <f t="shared" si="90"/>
        <v/>
      </c>
      <c r="AF81" s="10" t="str">
        <f t="shared" si="90"/>
        <v/>
      </c>
      <c r="AG81" s="10" t="str">
        <f t="shared" si="90"/>
        <v/>
      </c>
      <c r="AH81" s="10" t="str">
        <f t="shared" si="90"/>
        <v/>
      </c>
      <c r="AI81" s="10" t="str">
        <f t="shared" si="90"/>
        <v/>
      </c>
      <c r="AJ81" s="10" t="str">
        <f t="shared" si="90"/>
        <v/>
      </c>
      <c r="AK81" s="10" t="str">
        <f t="shared" si="90"/>
        <v/>
      </c>
      <c r="AL81" s="10" t="str">
        <f t="shared" si="90"/>
        <v/>
      </c>
      <c r="AM81" s="10" t="str">
        <f t="shared" si="90"/>
        <v/>
      </c>
      <c r="AN81" s="10" t="str">
        <f t="shared" si="90"/>
        <v/>
      </c>
      <c r="AO81" s="10" t="str">
        <f t="shared" si="90"/>
        <v/>
      </c>
      <c r="AP81" s="10" t="str">
        <f t="shared" si="90"/>
        <v/>
      </c>
      <c r="AQ81" s="10" t="str">
        <f t="shared" si="90"/>
        <v/>
      </c>
      <c r="AR81" s="10" t="str">
        <f t="shared" si="90"/>
        <v/>
      </c>
      <c r="AS81" s="10" t="str">
        <f t="shared" si="90"/>
        <v/>
      </c>
      <c r="AT81" s="10" t="str">
        <f t="shared" si="90"/>
        <v/>
      </c>
      <c r="AU81" s="10" t="str">
        <f t="shared" si="90"/>
        <v/>
      </c>
      <c r="AV81" s="10" t="str">
        <f t="shared" si="90"/>
        <v/>
      </c>
      <c r="AW81" s="10" t="str">
        <f t="shared" si="90"/>
        <v/>
      </c>
      <c r="AX81" s="10" t="str">
        <f t="shared" si="90"/>
        <v/>
      </c>
      <c r="AY81" s="10" t="str">
        <f t="shared" si="90"/>
        <v/>
      </c>
      <c r="AZ81" s="10" t="str">
        <f t="shared" si="90"/>
        <v/>
      </c>
      <c r="BA81" s="10" t="str">
        <f t="shared" si="90"/>
        <v/>
      </c>
      <c r="BB81" s="10" t="str">
        <f t="shared" si="90"/>
        <v/>
      </c>
      <c r="BC81" s="10" t="str">
        <f t="shared" si="90"/>
        <v/>
      </c>
      <c r="BD81" s="10" t="str">
        <f t="shared" si="90"/>
        <v/>
      </c>
      <c r="BE81" s="10" t="str">
        <f t="shared" si="90"/>
        <v/>
      </c>
      <c r="BF81" s="10" t="str">
        <f t="shared" si="90"/>
        <v/>
      </c>
      <c r="BG81" s="10" t="str">
        <f t="shared" si="90"/>
        <v/>
      </c>
      <c r="BH81" s="10" t="str">
        <f t="shared" si="90"/>
        <v/>
      </c>
      <c r="BI81" s="10" t="str">
        <f t="shared" si="90"/>
        <v/>
      </c>
      <c r="BJ81" s="10" t="str">
        <f t="shared" si="90"/>
        <v/>
      </c>
      <c r="BK81" s="10" t="str">
        <f t="shared" si="90"/>
        <v/>
      </c>
      <c r="BL81" s="10" t="str">
        <f t="shared" si="90"/>
        <v/>
      </c>
      <c r="BM81" s="10" t="str">
        <f t="shared" si="90"/>
        <v/>
      </c>
      <c r="BN81" s="10" t="str">
        <f t="shared" si="90"/>
        <v/>
      </c>
      <c r="BO81" s="10" t="str">
        <f t="shared" si="90"/>
        <v/>
      </c>
      <c r="BP81" s="10" t="str">
        <f t="shared" si="90"/>
        <v/>
      </c>
      <c r="BQ81" s="10" t="str">
        <f t="shared" si="90"/>
        <v/>
      </c>
      <c r="BR81" s="10" t="str">
        <f t="shared" si="90"/>
        <v/>
      </c>
      <c r="BS81" s="10" t="str">
        <f t="shared" si="90"/>
        <v/>
      </c>
      <c r="BT81" s="10" t="str">
        <f t="shared" si="90"/>
        <v/>
      </c>
      <c r="BU81" s="10" t="str">
        <f t="shared" si="90"/>
        <v/>
      </c>
      <c r="BV81" s="10" t="str">
        <f t="shared" si="90"/>
        <v/>
      </c>
      <c r="BW81" s="10" t="str">
        <f t="shared" si="90"/>
        <v/>
      </c>
      <c r="BX81" s="10" t="str">
        <f t="shared" si="90"/>
        <v/>
      </c>
      <c r="BY81" s="10" t="str">
        <f t="shared" si="90"/>
        <v/>
      </c>
      <c r="BZ81" s="10" t="str">
        <f t="shared" si="90"/>
        <v/>
      </c>
      <c r="CA81" s="10" t="str">
        <f t="shared" si="90"/>
        <v/>
      </c>
      <c r="CB81" s="10" t="str">
        <f t="shared" si="90"/>
        <v/>
      </c>
      <c r="CC81" s="10" t="str">
        <f t="shared" si="90"/>
        <v/>
      </c>
      <c r="CD81" s="10" t="str">
        <f t="shared" si="90"/>
        <v/>
      </c>
      <c r="CE81" s="10" t="str">
        <f t="shared" si="90"/>
        <v/>
      </c>
      <c r="CF81" s="10" t="str">
        <f t="shared" si="90"/>
        <v/>
      </c>
      <c r="CG81" s="10" t="str">
        <f t="shared" si="90"/>
        <v/>
      </c>
      <c r="CH81" s="10" t="str">
        <f t="shared" si="90"/>
        <v/>
      </c>
      <c r="CI81" s="10" t="str">
        <f t="shared" si="90"/>
        <v/>
      </c>
      <c r="CJ81" s="10" t="str">
        <f t="shared" si="90"/>
        <v/>
      </c>
      <c r="CK81" s="10" t="str">
        <f t="shared" si="90"/>
        <v/>
      </c>
      <c r="CL81" s="10" t="str">
        <f t="shared" si="90"/>
        <v/>
      </c>
      <c r="CM81" s="10" t="str">
        <f t="shared" si="90"/>
        <v/>
      </c>
      <c r="CN81" s="10" t="str">
        <f t="shared" si="90"/>
        <v/>
      </c>
      <c r="CO81" s="10" t="str">
        <f t="shared" si="90"/>
        <v/>
      </c>
      <c r="CP81" s="10" t="str">
        <f t="shared" si="90"/>
        <v/>
      </c>
      <c r="CQ81" s="10" t="str">
        <f t="shared" si="90"/>
        <v/>
      </c>
      <c r="CR81" s="10" t="str">
        <f t="shared" si="90"/>
        <v/>
      </c>
      <c r="CS81" s="10" t="str">
        <f t="shared" si="90"/>
        <v/>
      </c>
      <c r="CT81" s="10" t="str">
        <f t="shared" si="90"/>
        <v/>
      </c>
      <c r="CU81" s="10" t="str">
        <f t="shared" si="90"/>
        <v/>
      </c>
      <c r="CV81" s="10" t="str">
        <f t="shared" si="90"/>
        <v/>
      </c>
      <c r="CW81" s="10" t="str">
        <f t="shared" si="90"/>
        <v/>
      </c>
      <c r="CX81" s="10" t="str">
        <f t="shared" si="90"/>
        <v/>
      </c>
      <c r="CY81" s="10" t="str">
        <f t="shared" si="90"/>
        <v/>
      </c>
      <c r="CZ81" s="10" t="str">
        <f t="shared" si="90"/>
        <v/>
      </c>
      <c r="DA81" s="10" t="str">
        <f t="shared" si="90"/>
        <v/>
      </c>
      <c r="DB81" s="10" t="str">
        <f t="shared" si="90"/>
        <v/>
      </c>
      <c r="DC81" s="10" t="str">
        <f t="shared" si="90"/>
        <v/>
      </c>
      <c r="DD81" s="10" t="str">
        <f t="shared" si="90"/>
        <v/>
      </c>
      <c r="DE81" s="10" t="str">
        <f t="shared" si="90"/>
        <v/>
      </c>
      <c r="DF81" s="10" t="str">
        <f t="shared" si="90"/>
        <v/>
      </c>
      <c r="DG81" s="10" t="str">
        <f t="shared" si="90"/>
        <v/>
      </c>
      <c r="DH81" s="10" t="str">
        <f t="shared" si="90"/>
        <v/>
      </c>
      <c r="DI81" s="10" t="str">
        <f t="shared" si="90"/>
        <v/>
      </c>
      <c r="DJ81" s="10" t="str">
        <f t="shared" si="90"/>
        <v/>
      </c>
    </row>
    <row r="82" spans="1:114" ht="13.5" customHeight="1">
      <c r="A82" s="1">
        <f>Gerenciamento!D82</f>
        <v>0</v>
      </c>
      <c r="B82" s="1" t="e">
        <f t="shared" si="2"/>
        <v>#VALUE!</v>
      </c>
      <c r="C82" s="2" t="e">
        <f t="shared" si="6"/>
        <v>#VALUE!</v>
      </c>
      <c r="D82" s="2" t="e">
        <f t="shared" si="7"/>
        <v>#VALUE!</v>
      </c>
      <c r="E82" s="2" t="e">
        <f t="shared" si="8"/>
        <v>#VALUE!</v>
      </c>
      <c r="F82" s="2" t="e">
        <f t="shared" si="9"/>
        <v>#VALUE!</v>
      </c>
      <c r="G82" s="5" t="e">
        <f t="shared" si="15"/>
        <v>#VALUE!</v>
      </c>
      <c r="H82" s="1" t="e">
        <f t="shared" si="10"/>
        <v>#VALUE!</v>
      </c>
      <c r="I82" s="1" t="e">
        <f t="shared" si="12"/>
        <v>#VALUE!</v>
      </c>
      <c r="J82" s="6" t="e">
        <f t="shared" si="3"/>
        <v>#VALUE!</v>
      </c>
      <c r="M82" s="9" t="b">
        <f t="shared" si="4"/>
        <v>0</v>
      </c>
      <c r="N82" s="10" t="e">
        <f t="shared" ref="N82:DJ82" si="91">IF(N$1&gt;$L$2,"",IF(N$1=$L$2,1,IF($L$2-N$1=$L$1-$M82,$L$3^($L$1-$M82),($L$3*N83*O83/(N83+($L$3-1)*O83)))))</f>
        <v>#DIV/0!</v>
      </c>
      <c r="O82" s="10" t="e">
        <f t="shared" si="91"/>
        <v>#DIV/0!</v>
      </c>
      <c r="P82" s="10">
        <f t="shared" si="91"/>
        <v>1</v>
      </c>
      <c r="Q82" s="10" t="str">
        <f t="shared" si="91"/>
        <v/>
      </c>
      <c r="R82" s="10" t="str">
        <f t="shared" si="91"/>
        <v/>
      </c>
      <c r="S82" s="10" t="str">
        <f t="shared" si="91"/>
        <v/>
      </c>
      <c r="T82" s="10" t="str">
        <f t="shared" si="91"/>
        <v/>
      </c>
      <c r="U82" s="10" t="str">
        <f t="shared" si="91"/>
        <v/>
      </c>
      <c r="V82" s="10" t="str">
        <f t="shared" si="91"/>
        <v/>
      </c>
      <c r="W82" s="10" t="str">
        <f t="shared" si="91"/>
        <v/>
      </c>
      <c r="X82" s="10" t="str">
        <f t="shared" si="91"/>
        <v/>
      </c>
      <c r="Y82" s="10" t="str">
        <f t="shared" si="91"/>
        <v/>
      </c>
      <c r="Z82" s="10" t="str">
        <f t="shared" si="91"/>
        <v/>
      </c>
      <c r="AA82" s="10" t="str">
        <f t="shared" si="91"/>
        <v/>
      </c>
      <c r="AB82" s="10" t="str">
        <f t="shared" si="91"/>
        <v/>
      </c>
      <c r="AC82" s="10" t="str">
        <f t="shared" si="91"/>
        <v/>
      </c>
      <c r="AD82" s="10" t="str">
        <f t="shared" si="91"/>
        <v/>
      </c>
      <c r="AE82" s="10" t="str">
        <f t="shared" si="91"/>
        <v/>
      </c>
      <c r="AF82" s="10" t="str">
        <f t="shared" si="91"/>
        <v/>
      </c>
      <c r="AG82" s="10" t="str">
        <f t="shared" si="91"/>
        <v/>
      </c>
      <c r="AH82" s="10" t="str">
        <f t="shared" si="91"/>
        <v/>
      </c>
      <c r="AI82" s="10" t="str">
        <f t="shared" si="91"/>
        <v/>
      </c>
      <c r="AJ82" s="10" t="str">
        <f t="shared" si="91"/>
        <v/>
      </c>
      <c r="AK82" s="10" t="str">
        <f t="shared" si="91"/>
        <v/>
      </c>
      <c r="AL82" s="10" t="str">
        <f t="shared" si="91"/>
        <v/>
      </c>
      <c r="AM82" s="10" t="str">
        <f t="shared" si="91"/>
        <v/>
      </c>
      <c r="AN82" s="10" t="str">
        <f t="shared" si="91"/>
        <v/>
      </c>
      <c r="AO82" s="10" t="str">
        <f t="shared" si="91"/>
        <v/>
      </c>
      <c r="AP82" s="10" t="str">
        <f t="shared" si="91"/>
        <v/>
      </c>
      <c r="AQ82" s="10" t="str">
        <f t="shared" si="91"/>
        <v/>
      </c>
      <c r="AR82" s="10" t="str">
        <f t="shared" si="91"/>
        <v/>
      </c>
      <c r="AS82" s="10" t="str">
        <f t="shared" si="91"/>
        <v/>
      </c>
      <c r="AT82" s="10" t="str">
        <f t="shared" si="91"/>
        <v/>
      </c>
      <c r="AU82" s="10" t="str">
        <f t="shared" si="91"/>
        <v/>
      </c>
      <c r="AV82" s="10" t="str">
        <f t="shared" si="91"/>
        <v/>
      </c>
      <c r="AW82" s="10" t="str">
        <f t="shared" si="91"/>
        <v/>
      </c>
      <c r="AX82" s="10" t="str">
        <f t="shared" si="91"/>
        <v/>
      </c>
      <c r="AY82" s="10" t="str">
        <f t="shared" si="91"/>
        <v/>
      </c>
      <c r="AZ82" s="10" t="str">
        <f t="shared" si="91"/>
        <v/>
      </c>
      <c r="BA82" s="10" t="str">
        <f t="shared" si="91"/>
        <v/>
      </c>
      <c r="BB82" s="10" t="str">
        <f t="shared" si="91"/>
        <v/>
      </c>
      <c r="BC82" s="10" t="str">
        <f t="shared" si="91"/>
        <v/>
      </c>
      <c r="BD82" s="10" t="str">
        <f t="shared" si="91"/>
        <v/>
      </c>
      <c r="BE82" s="10" t="str">
        <f t="shared" si="91"/>
        <v/>
      </c>
      <c r="BF82" s="10" t="str">
        <f t="shared" si="91"/>
        <v/>
      </c>
      <c r="BG82" s="10" t="str">
        <f t="shared" si="91"/>
        <v/>
      </c>
      <c r="BH82" s="10" t="str">
        <f t="shared" si="91"/>
        <v/>
      </c>
      <c r="BI82" s="10" t="str">
        <f t="shared" si="91"/>
        <v/>
      </c>
      <c r="BJ82" s="10" t="str">
        <f t="shared" si="91"/>
        <v/>
      </c>
      <c r="BK82" s="10" t="str">
        <f t="shared" si="91"/>
        <v/>
      </c>
      <c r="BL82" s="10" t="str">
        <f t="shared" si="91"/>
        <v/>
      </c>
      <c r="BM82" s="10" t="str">
        <f t="shared" si="91"/>
        <v/>
      </c>
      <c r="BN82" s="10" t="str">
        <f t="shared" si="91"/>
        <v/>
      </c>
      <c r="BO82" s="10" t="str">
        <f t="shared" si="91"/>
        <v/>
      </c>
      <c r="BP82" s="10" t="str">
        <f t="shared" si="91"/>
        <v/>
      </c>
      <c r="BQ82" s="10" t="str">
        <f t="shared" si="91"/>
        <v/>
      </c>
      <c r="BR82" s="10" t="str">
        <f t="shared" si="91"/>
        <v/>
      </c>
      <c r="BS82" s="10" t="str">
        <f t="shared" si="91"/>
        <v/>
      </c>
      <c r="BT82" s="10" t="str">
        <f t="shared" si="91"/>
        <v/>
      </c>
      <c r="BU82" s="10" t="str">
        <f t="shared" si="91"/>
        <v/>
      </c>
      <c r="BV82" s="10" t="str">
        <f t="shared" si="91"/>
        <v/>
      </c>
      <c r="BW82" s="10" t="str">
        <f t="shared" si="91"/>
        <v/>
      </c>
      <c r="BX82" s="10" t="str">
        <f t="shared" si="91"/>
        <v/>
      </c>
      <c r="BY82" s="10" t="str">
        <f t="shared" si="91"/>
        <v/>
      </c>
      <c r="BZ82" s="10" t="str">
        <f t="shared" si="91"/>
        <v/>
      </c>
      <c r="CA82" s="10" t="str">
        <f t="shared" si="91"/>
        <v/>
      </c>
      <c r="CB82" s="10" t="str">
        <f t="shared" si="91"/>
        <v/>
      </c>
      <c r="CC82" s="10" t="str">
        <f t="shared" si="91"/>
        <v/>
      </c>
      <c r="CD82" s="10" t="str">
        <f t="shared" si="91"/>
        <v/>
      </c>
      <c r="CE82" s="10" t="str">
        <f t="shared" si="91"/>
        <v/>
      </c>
      <c r="CF82" s="10" t="str">
        <f t="shared" si="91"/>
        <v/>
      </c>
      <c r="CG82" s="10" t="str">
        <f t="shared" si="91"/>
        <v/>
      </c>
      <c r="CH82" s="10" t="str">
        <f t="shared" si="91"/>
        <v/>
      </c>
      <c r="CI82" s="10" t="str">
        <f t="shared" si="91"/>
        <v/>
      </c>
      <c r="CJ82" s="10" t="str">
        <f t="shared" si="91"/>
        <v/>
      </c>
      <c r="CK82" s="10" t="str">
        <f t="shared" si="91"/>
        <v/>
      </c>
      <c r="CL82" s="10" t="str">
        <f t="shared" si="91"/>
        <v/>
      </c>
      <c r="CM82" s="10" t="str">
        <f t="shared" si="91"/>
        <v/>
      </c>
      <c r="CN82" s="10" t="str">
        <f t="shared" si="91"/>
        <v/>
      </c>
      <c r="CO82" s="10" t="str">
        <f t="shared" si="91"/>
        <v/>
      </c>
      <c r="CP82" s="10" t="str">
        <f t="shared" si="91"/>
        <v/>
      </c>
      <c r="CQ82" s="10" t="str">
        <f t="shared" si="91"/>
        <v/>
      </c>
      <c r="CR82" s="10" t="str">
        <f t="shared" si="91"/>
        <v/>
      </c>
      <c r="CS82" s="10" t="str">
        <f t="shared" si="91"/>
        <v/>
      </c>
      <c r="CT82" s="10" t="str">
        <f t="shared" si="91"/>
        <v/>
      </c>
      <c r="CU82" s="10" t="str">
        <f t="shared" si="91"/>
        <v/>
      </c>
      <c r="CV82" s="10" t="str">
        <f t="shared" si="91"/>
        <v/>
      </c>
      <c r="CW82" s="10" t="str">
        <f t="shared" si="91"/>
        <v/>
      </c>
      <c r="CX82" s="10" t="str">
        <f t="shared" si="91"/>
        <v/>
      </c>
      <c r="CY82" s="10" t="str">
        <f t="shared" si="91"/>
        <v/>
      </c>
      <c r="CZ82" s="10" t="str">
        <f t="shared" si="91"/>
        <v/>
      </c>
      <c r="DA82" s="10" t="str">
        <f t="shared" si="91"/>
        <v/>
      </c>
      <c r="DB82" s="10" t="str">
        <f t="shared" si="91"/>
        <v/>
      </c>
      <c r="DC82" s="10" t="str">
        <f t="shared" si="91"/>
        <v/>
      </c>
      <c r="DD82" s="10" t="str">
        <f t="shared" si="91"/>
        <v/>
      </c>
      <c r="DE82" s="10" t="str">
        <f t="shared" si="91"/>
        <v/>
      </c>
      <c r="DF82" s="10" t="str">
        <f t="shared" si="91"/>
        <v/>
      </c>
      <c r="DG82" s="10" t="str">
        <f t="shared" si="91"/>
        <v/>
      </c>
      <c r="DH82" s="10" t="str">
        <f t="shared" si="91"/>
        <v/>
      </c>
      <c r="DI82" s="10" t="str">
        <f t="shared" si="91"/>
        <v/>
      </c>
      <c r="DJ82" s="10" t="str">
        <f t="shared" si="91"/>
        <v/>
      </c>
    </row>
    <row r="83" spans="1:114" ht="13.5" customHeight="1">
      <c r="A83" s="1">
        <f>Gerenciamento!D83</f>
        <v>0</v>
      </c>
      <c r="B83" s="1" t="e">
        <f t="shared" si="2"/>
        <v>#VALUE!</v>
      </c>
      <c r="C83" s="2" t="e">
        <f t="shared" si="6"/>
        <v>#VALUE!</v>
      </c>
      <c r="D83" s="2" t="e">
        <f t="shared" si="7"/>
        <v>#VALUE!</v>
      </c>
      <c r="E83" s="2" t="e">
        <f t="shared" si="8"/>
        <v>#VALUE!</v>
      </c>
      <c r="F83" s="2" t="e">
        <f t="shared" si="9"/>
        <v>#VALUE!</v>
      </c>
      <c r="G83" s="5" t="e">
        <f t="shared" si="15"/>
        <v>#VALUE!</v>
      </c>
      <c r="H83" s="1" t="e">
        <f t="shared" si="10"/>
        <v>#VALUE!</v>
      </c>
      <c r="I83" s="1" t="e">
        <f t="shared" si="12"/>
        <v>#VALUE!</v>
      </c>
      <c r="J83" s="6" t="e">
        <f t="shared" si="3"/>
        <v>#VALUE!</v>
      </c>
      <c r="M83" s="9" t="b">
        <f t="shared" si="4"/>
        <v>0</v>
      </c>
      <c r="N83" s="10" t="e">
        <f t="shared" ref="N83:DJ83" si="92">IF(N$1&gt;$L$2,"",IF(N$1=$L$2,1,IF($L$2-N$1=$L$1-$M83,$L$3^($L$1-$M83),($L$3*N84*O84/(N84+($L$3-1)*O84)))))</f>
        <v>#DIV/0!</v>
      </c>
      <c r="O83" s="10" t="e">
        <f t="shared" si="92"/>
        <v>#DIV/0!</v>
      </c>
      <c r="P83" s="10">
        <f t="shared" si="92"/>
        <v>1</v>
      </c>
      <c r="Q83" s="10" t="str">
        <f t="shared" si="92"/>
        <v/>
      </c>
      <c r="R83" s="10" t="str">
        <f t="shared" si="92"/>
        <v/>
      </c>
      <c r="S83" s="10" t="str">
        <f t="shared" si="92"/>
        <v/>
      </c>
      <c r="T83" s="10" t="str">
        <f t="shared" si="92"/>
        <v/>
      </c>
      <c r="U83" s="10" t="str">
        <f t="shared" si="92"/>
        <v/>
      </c>
      <c r="V83" s="10" t="str">
        <f t="shared" si="92"/>
        <v/>
      </c>
      <c r="W83" s="10" t="str">
        <f t="shared" si="92"/>
        <v/>
      </c>
      <c r="X83" s="10" t="str">
        <f t="shared" si="92"/>
        <v/>
      </c>
      <c r="Y83" s="10" t="str">
        <f t="shared" si="92"/>
        <v/>
      </c>
      <c r="Z83" s="10" t="str">
        <f t="shared" si="92"/>
        <v/>
      </c>
      <c r="AA83" s="10" t="str">
        <f t="shared" si="92"/>
        <v/>
      </c>
      <c r="AB83" s="10" t="str">
        <f t="shared" si="92"/>
        <v/>
      </c>
      <c r="AC83" s="10" t="str">
        <f t="shared" si="92"/>
        <v/>
      </c>
      <c r="AD83" s="10" t="str">
        <f t="shared" si="92"/>
        <v/>
      </c>
      <c r="AE83" s="10" t="str">
        <f t="shared" si="92"/>
        <v/>
      </c>
      <c r="AF83" s="10" t="str">
        <f t="shared" si="92"/>
        <v/>
      </c>
      <c r="AG83" s="10" t="str">
        <f t="shared" si="92"/>
        <v/>
      </c>
      <c r="AH83" s="10" t="str">
        <f t="shared" si="92"/>
        <v/>
      </c>
      <c r="AI83" s="10" t="str">
        <f t="shared" si="92"/>
        <v/>
      </c>
      <c r="AJ83" s="10" t="str">
        <f t="shared" si="92"/>
        <v/>
      </c>
      <c r="AK83" s="10" t="str">
        <f t="shared" si="92"/>
        <v/>
      </c>
      <c r="AL83" s="10" t="str">
        <f t="shared" si="92"/>
        <v/>
      </c>
      <c r="AM83" s="10" t="str">
        <f t="shared" si="92"/>
        <v/>
      </c>
      <c r="AN83" s="10" t="str">
        <f t="shared" si="92"/>
        <v/>
      </c>
      <c r="AO83" s="10" t="str">
        <f t="shared" si="92"/>
        <v/>
      </c>
      <c r="AP83" s="10" t="str">
        <f t="shared" si="92"/>
        <v/>
      </c>
      <c r="AQ83" s="10" t="str">
        <f t="shared" si="92"/>
        <v/>
      </c>
      <c r="AR83" s="10" t="str">
        <f t="shared" si="92"/>
        <v/>
      </c>
      <c r="AS83" s="10" t="str">
        <f t="shared" si="92"/>
        <v/>
      </c>
      <c r="AT83" s="10" t="str">
        <f t="shared" si="92"/>
        <v/>
      </c>
      <c r="AU83" s="10" t="str">
        <f t="shared" si="92"/>
        <v/>
      </c>
      <c r="AV83" s="10" t="str">
        <f t="shared" si="92"/>
        <v/>
      </c>
      <c r="AW83" s="10" t="str">
        <f t="shared" si="92"/>
        <v/>
      </c>
      <c r="AX83" s="10" t="str">
        <f t="shared" si="92"/>
        <v/>
      </c>
      <c r="AY83" s="10" t="str">
        <f t="shared" si="92"/>
        <v/>
      </c>
      <c r="AZ83" s="10" t="str">
        <f t="shared" si="92"/>
        <v/>
      </c>
      <c r="BA83" s="10" t="str">
        <f t="shared" si="92"/>
        <v/>
      </c>
      <c r="BB83" s="10" t="str">
        <f t="shared" si="92"/>
        <v/>
      </c>
      <c r="BC83" s="10" t="str">
        <f t="shared" si="92"/>
        <v/>
      </c>
      <c r="BD83" s="10" t="str">
        <f t="shared" si="92"/>
        <v/>
      </c>
      <c r="BE83" s="10" t="str">
        <f t="shared" si="92"/>
        <v/>
      </c>
      <c r="BF83" s="10" t="str">
        <f t="shared" si="92"/>
        <v/>
      </c>
      <c r="BG83" s="10" t="str">
        <f t="shared" si="92"/>
        <v/>
      </c>
      <c r="BH83" s="10" t="str">
        <f t="shared" si="92"/>
        <v/>
      </c>
      <c r="BI83" s="10" t="str">
        <f t="shared" si="92"/>
        <v/>
      </c>
      <c r="BJ83" s="10" t="str">
        <f t="shared" si="92"/>
        <v/>
      </c>
      <c r="BK83" s="10" t="str">
        <f t="shared" si="92"/>
        <v/>
      </c>
      <c r="BL83" s="10" t="str">
        <f t="shared" si="92"/>
        <v/>
      </c>
      <c r="BM83" s="10" t="str">
        <f t="shared" si="92"/>
        <v/>
      </c>
      <c r="BN83" s="10" t="str">
        <f t="shared" si="92"/>
        <v/>
      </c>
      <c r="BO83" s="10" t="str">
        <f t="shared" si="92"/>
        <v/>
      </c>
      <c r="BP83" s="10" t="str">
        <f t="shared" si="92"/>
        <v/>
      </c>
      <c r="BQ83" s="10" t="str">
        <f t="shared" si="92"/>
        <v/>
      </c>
      <c r="BR83" s="10" t="str">
        <f t="shared" si="92"/>
        <v/>
      </c>
      <c r="BS83" s="10" t="str">
        <f t="shared" si="92"/>
        <v/>
      </c>
      <c r="BT83" s="10" t="str">
        <f t="shared" si="92"/>
        <v/>
      </c>
      <c r="BU83" s="10" t="str">
        <f t="shared" si="92"/>
        <v/>
      </c>
      <c r="BV83" s="10" t="str">
        <f t="shared" si="92"/>
        <v/>
      </c>
      <c r="BW83" s="10" t="str">
        <f t="shared" si="92"/>
        <v/>
      </c>
      <c r="BX83" s="10" t="str">
        <f t="shared" si="92"/>
        <v/>
      </c>
      <c r="BY83" s="10" t="str">
        <f t="shared" si="92"/>
        <v/>
      </c>
      <c r="BZ83" s="10" t="str">
        <f t="shared" si="92"/>
        <v/>
      </c>
      <c r="CA83" s="10" t="str">
        <f t="shared" si="92"/>
        <v/>
      </c>
      <c r="CB83" s="10" t="str">
        <f t="shared" si="92"/>
        <v/>
      </c>
      <c r="CC83" s="10" t="str">
        <f t="shared" si="92"/>
        <v/>
      </c>
      <c r="CD83" s="10" t="str">
        <f t="shared" si="92"/>
        <v/>
      </c>
      <c r="CE83" s="10" t="str">
        <f t="shared" si="92"/>
        <v/>
      </c>
      <c r="CF83" s="10" t="str">
        <f t="shared" si="92"/>
        <v/>
      </c>
      <c r="CG83" s="10" t="str">
        <f t="shared" si="92"/>
        <v/>
      </c>
      <c r="CH83" s="10" t="str">
        <f t="shared" si="92"/>
        <v/>
      </c>
      <c r="CI83" s="10" t="str">
        <f t="shared" si="92"/>
        <v/>
      </c>
      <c r="CJ83" s="10" t="str">
        <f t="shared" si="92"/>
        <v/>
      </c>
      <c r="CK83" s="10" t="str">
        <f t="shared" si="92"/>
        <v/>
      </c>
      <c r="CL83" s="10" t="str">
        <f t="shared" si="92"/>
        <v/>
      </c>
      <c r="CM83" s="10" t="str">
        <f t="shared" si="92"/>
        <v/>
      </c>
      <c r="CN83" s="10" t="str">
        <f t="shared" si="92"/>
        <v/>
      </c>
      <c r="CO83" s="10" t="str">
        <f t="shared" si="92"/>
        <v/>
      </c>
      <c r="CP83" s="10" t="str">
        <f t="shared" si="92"/>
        <v/>
      </c>
      <c r="CQ83" s="10" t="str">
        <f t="shared" si="92"/>
        <v/>
      </c>
      <c r="CR83" s="10" t="str">
        <f t="shared" si="92"/>
        <v/>
      </c>
      <c r="CS83" s="10" t="str">
        <f t="shared" si="92"/>
        <v/>
      </c>
      <c r="CT83" s="10" t="str">
        <f t="shared" si="92"/>
        <v/>
      </c>
      <c r="CU83" s="10" t="str">
        <f t="shared" si="92"/>
        <v/>
      </c>
      <c r="CV83" s="10" t="str">
        <f t="shared" si="92"/>
        <v/>
      </c>
      <c r="CW83" s="10" t="str">
        <f t="shared" si="92"/>
        <v/>
      </c>
      <c r="CX83" s="10" t="str">
        <f t="shared" si="92"/>
        <v/>
      </c>
      <c r="CY83" s="10" t="str">
        <f t="shared" si="92"/>
        <v/>
      </c>
      <c r="CZ83" s="10" t="str">
        <f t="shared" si="92"/>
        <v/>
      </c>
      <c r="DA83" s="10" t="str">
        <f t="shared" si="92"/>
        <v/>
      </c>
      <c r="DB83" s="10" t="str">
        <f t="shared" si="92"/>
        <v/>
      </c>
      <c r="DC83" s="10" t="str">
        <f t="shared" si="92"/>
        <v/>
      </c>
      <c r="DD83" s="10" t="str">
        <f t="shared" si="92"/>
        <v/>
      </c>
      <c r="DE83" s="10" t="str">
        <f t="shared" si="92"/>
        <v/>
      </c>
      <c r="DF83" s="10" t="str">
        <f t="shared" si="92"/>
        <v/>
      </c>
      <c r="DG83" s="10" t="str">
        <f t="shared" si="92"/>
        <v/>
      </c>
      <c r="DH83" s="10" t="str">
        <f t="shared" si="92"/>
        <v/>
      </c>
      <c r="DI83" s="10" t="str">
        <f t="shared" si="92"/>
        <v/>
      </c>
      <c r="DJ83" s="10" t="str">
        <f t="shared" si="92"/>
        <v/>
      </c>
    </row>
    <row r="84" spans="1:114" ht="13.5" customHeight="1">
      <c r="A84" s="1">
        <f>Gerenciamento!D84</f>
        <v>0</v>
      </c>
      <c r="B84" s="1" t="e">
        <f t="shared" si="2"/>
        <v>#VALUE!</v>
      </c>
      <c r="C84" s="2" t="e">
        <f t="shared" si="6"/>
        <v>#VALUE!</v>
      </c>
      <c r="D84" s="2" t="e">
        <f t="shared" si="7"/>
        <v>#VALUE!</v>
      </c>
      <c r="E84" s="2" t="e">
        <f t="shared" si="8"/>
        <v>#VALUE!</v>
      </c>
      <c r="F84" s="2" t="e">
        <f t="shared" si="9"/>
        <v>#VALUE!</v>
      </c>
      <c r="G84" s="5" t="e">
        <f t="shared" si="15"/>
        <v>#VALUE!</v>
      </c>
      <c r="H84" s="1" t="e">
        <f t="shared" si="10"/>
        <v>#VALUE!</v>
      </c>
      <c r="I84" s="1" t="e">
        <f t="shared" si="12"/>
        <v>#VALUE!</v>
      </c>
      <c r="J84" s="6" t="e">
        <f t="shared" si="3"/>
        <v>#VALUE!</v>
      </c>
      <c r="M84" s="9" t="b">
        <f t="shared" si="4"/>
        <v>0</v>
      </c>
      <c r="N84" s="10" t="e">
        <f t="shared" ref="N84:DJ84" si="93">IF(N$1&gt;$L$2,"",IF(N$1=$L$2,1,IF($L$2-N$1=$L$1-$M84,$L$3^($L$1-$M84),($L$3*N85*O85/(N85+($L$3-1)*O85)))))</f>
        <v>#DIV/0!</v>
      </c>
      <c r="O84" s="10" t="e">
        <f t="shared" si="93"/>
        <v>#DIV/0!</v>
      </c>
      <c r="P84" s="10">
        <f t="shared" si="93"/>
        <v>1</v>
      </c>
      <c r="Q84" s="10" t="str">
        <f t="shared" si="93"/>
        <v/>
      </c>
      <c r="R84" s="10" t="str">
        <f t="shared" si="93"/>
        <v/>
      </c>
      <c r="S84" s="10" t="str">
        <f t="shared" si="93"/>
        <v/>
      </c>
      <c r="T84" s="10" t="str">
        <f t="shared" si="93"/>
        <v/>
      </c>
      <c r="U84" s="10" t="str">
        <f t="shared" si="93"/>
        <v/>
      </c>
      <c r="V84" s="10" t="str">
        <f t="shared" si="93"/>
        <v/>
      </c>
      <c r="W84" s="10" t="str">
        <f t="shared" si="93"/>
        <v/>
      </c>
      <c r="X84" s="10" t="str">
        <f t="shared" si="93"/>
        <v/>
      </c>
      <c r="Y84" s="10" t="str">
        <f t="shared" si="93"/>
        <v/>
      </c>
      <c r="Z84" s="10" t="str">
        <f t="shared" si="93"/>
        <v/>
      </c>
      <c r="AA84" s="10" t="str">
        <f t="shared" si="93"/>
        <v/>
      </c>
      <c r="AB84" s="10" t="str">
        <f t="shared" si="93"/>
        <v/>
      </c>
      <c r="AC84" s="10" t="str">
        <f t="shared" si="93"/>
        <v/>
      </c>
      <c r="AD84" s="10" t="str">
        <f t="shared" si="93"/>
        <v/>
      </c>
      <c r="AE84" s="10" t="str">
        <f t="shared" si="93"/>
        <v/>
      </c>
      <c r="AF84" s="10" t="str">
        <f t="shared" si="93"/>
        <v/>
      </c>
      <c r="AG84" s="10" t="str">
        <f t="shared" si="93"/>
        <v/>
      </c>
      <c r="AH84" s="10" t="str">
        <f t="shared" si="93"/>
        <v/>
      </c>
      <c r="AI84" s="10" t="str">
        <f t="shared" si="93"/>
        <v/>
      </c>
      <c r="AJ84" s="10" t="str">
        <f t="shared" si="93"/>
        <v/>
      </c>
      <c r="AK84" s="10" t="str">
        <f t="shared" si="93"/>
        <v/>
      </c>
      <c r="AL84" s="10" t="str">
        <f t="shared" si="93"/>
        <v/>
      </c>
      <c r="AM84" s="10" t="str">
        <f t="shared" si="93"/>
        <v/>
      </c>
      <c r="AN84" s="10" t="str">
        <f t="shared" si="93"/>
        <v/>
      </c>
      <c r="AO84" s="10" t="str">
        <f t="shared" si="93"/>
        <v/>
      </c>
      <c r="AP84" s="10" t="str">
        <f t="shared" si="93"/>
        <v/>
      </c>
      <c r="AQ84" s="10" t="str">
        <f t="shared" si="93"/>
        <v/>
      </c>
      <c r="AR84" s="10" t="str">
        <f t="shared" si="93"/>
        <v/>
      </c>
      <c r="AS84" s="10" t="str">
        <f t="shared" si="93"/>
        <v/>
      </c>
      <c r="AT84" s="10" t="str">
        <f t="shared" si="93"/>
        <v/>
      </c>
      <c r="AU84" s="10" t="str">
        <f t="shared" si="93"/>
        <v/>
      </c>
      <c r="AV84" s="10" t="str">
        <f t="shared" si="93"/>
        <v/>
      </c>
      <c r="AW84" s="10" t="str">
        <f t="shared" si="93"/>
        <v/>
      </c>
      <c r="AX84" s="10" t="str">
        <f t="shared" si="93"/>
        <v/>
      </c>
      <c r="AY84" s="10" t="str">
        <f t="shared" si="93"/>
        <v/>
      </c>
      <c r="AZ84" s="10" t="str">
        <f t="shared" si="93"/>
        <v/>
      </c>
      <c r="BA84" s="10" t="str">
        <f t="shared" si="93"/>
        <v/>
      </c>
      <c r="BB84" s="10" t="str">
        <f t="shared" si="93"/>
        <v/>
      </c>
      <c r="BC84" s="10" t="str">
        <f t="shared" si="93"/>
        <v/>
      </c>
      <c r="BD84" s="10" t="str">
        <f t="shared" si="93"/>
        <v/>
      </c>
      <c r="BE84" s="10" t="str">
        <f t="shared" si="93"/>
        <v/>
      </c>
      <c r="BF84" s="10" t="str">
        <f t="shared" si="93"/>
        <v/>
      </c>
      <c r="BG84" s="10" t="str">
        <f t="shared" si="93"/>
        <v/>
      </c>
      <c r="BH84" s="10" t="str">
        <f t="shared" si="93"/>
        <v/>
      </c>
      <c r="BI84" s="10" t="str">
        <f t="shared" si="93"/>
        <v/>
      </c>
      <c r="BJ84" s="10" t="str">
        <f t="shared" si="93"/>
        <v/>
      </c>
      <c r="BK84" s="10" t="str">
        <f t="shared" si="93"/>
        <v/>
      </c>
      <c r="BL84" s="10" t="str">
        <f t="shared" si="93"/>
        <v/>
      </c>
      <c r="BM84" s="10" t="str">
        <f t="shared" si="93"/>
        <v/>
      </c>
      <c r="BN84" s="10" t="str">
        <f t="shared" si="93"/>
        <v/>
      </c>
      <c r="BO84" s="10" t="str">
        <f t="shared" si="93"/>
        <v/>
      </c>
      <c r="BP84" s="10" t="str">
        <f t="shared" si="93"/>
        <v/>
      </c>
      <c r="BQ84" s="10" t="str">
        <f t="shared" si="93"/>
        <v/>
      </c>
      <c r="BR84" s="10" t="str">
        <f t="shared" si="93"/>
        <v/>
      </c>
      <c r="BS84" s="10" t="str">
        <f t="shared" si="93"/>
        <v/>
      </c>
      <c r="BT84" s="10" t="str">
        <f t="shared" si="93"/>
        <v/>
      </c>
      <c r="BU84" s="10" t="str">
        <f t="shared" si="93"/>
        <v/>
      </c>
      <c r="BV84" s="10" t="str">
        <f t="shared" si="93"/>
        <v/>
      </c>
      <c r="BW84" s="10" t="str">
        <f t="shared" si="93"/>
        <v/>
      </c>
      <c r="BX84" s="10" t="str">
        <f t="shared" si="93"/>
        <v/>
      </c>
      <c r="BY84" s="10" t="str">
        <f t="shared" si="93"/>
        <v/>
      </c>
      <c r="BZ84" s="10" t="str">
        <f t="shared" si="93"/>
        <v/>
      </c>
      <c r="CA84" s="10" t="str">
        <f t="shared" si="93"/>
        <v/>
      </c>
      <c r="CB84" s="10" t="str">
        <f t="shared" si="93"/>
        <v/>
      </c>
      <c r="CC84" s="10" t="str">
        <f t="shared" si="93"/>
        <v/>
      </c>
      <c r="CD84" s="10" t="str">
        <f t="shared" si="93"/>
        <v/>
      </c>
      <c r="CE84" s="10" t="str">
        <f t="shared" si="93"/>
        <v/>
      </c>
      <c r="CF84" s="10" t="str">
        <f t="shared" si="93"/>
        <v/>
      </c>
      <c r="CG84" s="10" t="str">
        <f t="shared" si="93"/>
        <v/>
      </c>
      <c r="CH84" s="10" t="str">
        <f t="shared" si="93"/>
        <v/>
      </c>
      <c r="CI84" s="10" t="str">
        <f t="shared" si="93"/>
        <v/>
      </c>
      <c r="CJ84" s="10" t="str">
        <f t="shared" si="93"/>
        <v/>
      </c>
      <c r="CK84" s="10" t="str">
        <f t="shared" si="93"/>
        <v/>
      </c>
      <c r="CL84" s="10" t="str">
        <f t="shared" si="93"/>
        <v/>
      </c>
      <c r="CM84" s="10" t="str">
        <f t="shared" si="93"/>
        <v/>
      </c>
      <c r="CN84" s="10" t="str">
        <f t="shared" si="93"/>
        <v/>
      </c>
      <c r="CO84" s="10" t="str">
        <f t="shared" si="93"/>
        <v/>
      </c>
      <c r="CP84" s="10" t="str">
        <f t="shared" si="93"/>
        <v/>
      </c>
      <c r="CQ84" s="10" t="str">
        <f t="shared" si="93"/>
        <v/>
      </c>
      <c r="CR84" s="10" t="str">
        <f t="shared" si="93"/>
        <v/>
      </c>
      <c r="CS84" s="10" t="str">
        <f t="shared" si="93"/>
        <v/>
      </c>
      <c r="CT84" s="10" t="str">
        <f t="shared" si="93"/>
        <v/>
      </c>
      <c r="CU84" s="10" t="str">
        <f t="shared" si="93"/>
        <v/>
      </c>
      <c r="CV84" s="10" t="str">
        <f t="shared" si="93"/>
        <v/>
      </c>
      <c r="CW84" s="10" t="str">
        <f t="shared" si="93"/>
        <v/>
      </c>
      <c r="CX84" s="10" t="str">
        <f t="shared" si="93"/>
        <v/>
      </c>
      <c r="CY84" s="10" t="str">
        <f t="shared" si="93"/>
        <v/>
      </c>
      <c r="CZ84" s="10" t="str">
        <f t="shared" si="93"/>
        <v/>
      </c>
      <c r="DA84" s="10" t="str">
        <f t="shared" si="93"/>
        <v/>
      </c>
      <c r="DB84" s="10" t="str">
        <f t="shared" si="93"/>
        <v/>
      </c>
      <c r="DC84" s="10" t="str">
        <f t="shared" si="93"/>
        <v/>
      </c>
      <c r="DD84" s="10" t="str">
        <f t="shared" si="93"/>
        <v/>
      </c>
      <c r="DE84" s="10" t="str">
        <f t="shared" si="93"/>
        <v/>
      </c>
      <c r="DF84" s="10" t="str">
        <f t="shared" si="93"/>
        <v/>
      </c>
      <c r="DG84" s="10" t="str">
        <f t="shared" si="93"/>
        <v/>
      </c>
      <c r="DH84" s="10" t="str">
        <f t="shared" si="93"/>
        <v/>
      </c>
      <c r="DI84" s="10" t="str">
        <f t="shared" si="93"/>
        <v/>
      </c>
      <c r="DJ84" s="10" t="str">
        <f t="shared" si="93"/>
        <v/>
      </c>
    </row>
    <row r="85" spans="1:114" ht="13.5" customHeight="1">
      <c r="A85" s="1">
        <f>Gerenciamento!D85</f>
        <v>0</v>
      </c>
      <c r="B85" s="1" t="e">
        <f t="shared" si="2"/>
        <v>#VALUE!</v>
      </c>
      <c r="C85" s="2" t="e">
        <f t="shared" si="6"/>
        <v>#VALUE!</v>
      </c>
      <c r="D85" s="2" t="e">
        <f t="shared" si="7"/>
        <v>#VALUE!</v>
      </c>
      <c r="E85" s="2" t="e">
        <f t="shared" si="8"/>
        <v>#VALUE!</v>
      </c>
      <c r="F85" s="2" t="e">
        <f t="shared" si="9"/>
        <v>#VALUE!</v>
      </c>
      <c r="G85" s="5" t="e">
        <f t="shared" si="15"/>
        <v>#VALUE!</v>
      </c>
      <c r="H85" s="1" t="e">
        <f t="shared" si="10"/>
        <v>#VALUE!</v>
      </c>
      <c r="I85" s="1" t="e">
        <f t="shared" si="12"/>
        <v>#VALUE!</v>
      </c>
      <c r="J85" s="6" t="e">
        <f t="shared" si="3"/>
        <v>#VALUE!</v>
      </c>
      <c r="M85" s="9" t="b">
        <f t="shared" si="4"/>
        <v>0</v>
      </c>
      <c r="N85" s="10" t="e">
        <f t="shared" ref="N85:DJ85" si="94">IF(N$1&gt;$L$2,"",IF(N$1=$L$2,1,IF($L$2-N$1=$L$1-$M85,$L$3^($L$1-$M85),($L$3*N86*O86/(N86+($L$3-1)*O86)))))</f>
        <v>#DIV/0!</v>
      </c>
      <c r="O85" s="10" t="e">
        <f t="shared" si="94"/>
        <v>#DIV/0!</v>
      </c>
      <c r="P85" s="10">
        <f t="shared" si="94"/>
        <v>1</v>
      </c>
      <c r="Q85" s="10" t="str">
        <f t="shared" si="94"/>
        <v/>
      </c>
      <c r="R85" s="10" t="str">
        <f t="shared" si="94"/>
        <v/>
      </c>
      <c r="S85" s="10" t="str">
        <f t="shared" si="94"/>
        <v/>
      </c>
      <c r="T85" s="10" t="str">
        <f t="shared" si="94"/>
        <v/>
      </c>
      <c r="U85" s="10" t="str">
        <f t="shared" si="94"/>
        <v/>
      </c>
      <c r="V85" s="10" t="str">
        <f t="shared" si="94"/>
        <v/>
      </c>
      <c r="W85" s="10" t="str">
        <f t="shared" si="94"/>
        <v/>
      </c>
      <c r="X85" s="10" t="str">
        <f t="shared" si="94"/>
        <v/>
      </c>
      <c r="Y85" s="10" t="str">
        <f t="shared" si="94"/>
        <v/>
      </c>
      <c r="Z85" s="10" t="str">
        <f t="shared" si="94"/>
        <v/>
      </c>
      <c r="AA85" s="10" t="str">
        <f t="shared" si="94"/>
        <v/>
      </c>
      <c r="AB85" s="10" t="str">
        <f t="shared" si="94"/>
        <v/>
      </c>
      <c r="AC85" s="10" t="str">
        <f t="shared" si="94"/>
        <v/>
      </c>
      <c r="AD85" s="10" t="str">
        <f t="shared" si="94"/>
        <v/>
      </c>
      <c r="AE85" s="10" t="str">
        <f t="shared" si="94"/>
        <v/>
      </c>
      <c r="AF85" s="10" t="str">
        <f t="shared" si="94"/>
        <v/>
      </c>
      <c r="AG85" s="10" t="str">
        <f t="shared" si="94"/>
        <v/>
      </c>
      <c r="AH85" s="10" t="str">
        <f t="shared" si="94"/>
        <v/>
      </c>
      <c r="AI85" s="10" t="str">
        <f t="shared" si="94"/>
        <v/>
      </c>
      <c r="AJ85" s="10" t="str">
        <f t="shared" si="94"/>
        <v/>
      </c>
      <c r="AK85" s="10" t="str">
        <f t="shared" si="94"/>
        <v/>
      </c>
      <c r="AL85" s="10" t="str">
        <f t="shared" si="94"/>
        <v/>
      </c>
      <c r="AM85" s="10" t="str">
        <f t="shared" si="94"/>
        <v/>
      </c>
      <c r="AN85" s="10" t="str">
        <f t="shared" si="94"/>
        <v/>
      </c>
      <c r="AO85" s="10" t="str">
        <f t="shared" si="94"/>
        <v/>
      </c>
      <c r="AP85" s="10" t="str">
        <f t="shared" si="94"/>
        <v/>
      </c>
      <c r="AQ85" s="10" t="str">
        <f t="shared" si="94"/>
        <v/>
      </c>
      <c r="AR85" s="10" t="str">
        <f t="shared" si="94"/>
        <v/>
      </c>
      <c r="AS85" s="10" t="str">
        <f t="shared" si="94"/>
        <v/>
      </c>
      <c r="AT85" s="10" t="str">
        <f t="shared" si="94"/>
        <v/>
      </c>
      <c r="AU85" s="10" t="str">
        <f t="shared" si="94"/>
        <v/>
      </c>
      <c r="AV85" s="10" t="str">
        <f t="shared" si="94"/>
        <v/>
      </c>
      <c r="AW85" s="10" t="str">
        <f t="shared" si="94"/>
        <v/>
      </c>
      <c r="AX85" s="10" t="str">
        <f t="shared" si="94"/>
        <v/>
      </c>
      <c r="AY85" s="10" t="str">
        <f t="shared" si="94"/>
        <v/>
      </c>
      <c r="AZ85" s="10" t="str">
        <f t="shared" si="94"/>
        <v/>
      </c>
      <c r="BA85" s="10" t="str">
        <f t="shared" si="94"/>
        <v/>
      </c>
      <c r="BB85" s="10" t="str">
        <f t="shared" si="94"/>
        <v/>
      </c>
      <c r="BC85" s="10" t="str">
        <f t="shared" si="94"/>
        <v/>
      </c>
      <c r="BD85" s="10" t="str">
        <f t="shared" si="94"/>
        <v/>
      </c>
      <c r="BE85" s="10" t="str">
        <f t="shared" si="94"/>
        <v/>
      </c>
      <c r="BF85" s="10" t="str">
        <f t="shared" si="94"/>
        <v/>
      </c>
      <c r="BG85" s="10" t="str">
        <f t="shared" si="94"/>
        <v/>
      </c>
      <c r="BH85" s="10" t="str">
        <f t="shared" si="94"/>
        <v/>
      </c>
      <c r="BI85" s="10" t="str">
        <f t="shared" si="94"/>
        <v/>
      </c>
      <c r="BJ85" s="10" t="str">
        <f t="shared" si="94"/>
        <v/>
      </c>
      <c r="BK85" s="10" t="str">
        <f t="shared" si="94"/>
        <v/>
      </c>
      <c r="BL85" s="10" t="str">
        <f t="shared" si="94"/>
        <v/>
      </c>
      <c r="BM85" s="10" t="str">
        <f t="shared" si="94"/>
        <v/>
      </c>
      <c r="BN85" s="10" t="str">
        <f t="shared" si="94"/>
        <v/>
      </c>
      <c r="BO85" s="10" t="str">
        <f t="shared" si="94"/>
        <v/>
      </c>
      <c r="BP85" s="10" t="str">
        <f t="shared" si="94"/>
        <v/>
      </c>
      <c r="BQ85" s="10" t="str">
        <f t="shared" si="94"/>
        <v/>
      </c>
      <c r="BR85" s="10" t="str">
        <f t="shared" si="94"/>
        <v/>
      </c>
      <c r="BS85" s="10" t="str">
        <f t="shared" si="94"/>
        <v/>
      </c>
      <c r="BT85" s="10" t="str">
        <f t="shared" si="94"/>
        <v/>
      </c>
      <c r="BU85" s="10" t="str">
        <f t="shared" si="94"/>
        <v/>
      </c>
      <c r="BV85" s="10" t="str">
        <f t="shared" si="94"/>
        <v/>
      </c>
      <c r="BW85" s="10" t="str">
        <f t="shared" si="94"/>
        <v/>
      </c>
      <c r="BX85" s="10" t="str">
        <f t="shared" si="94"/>
        <v/>
      </c>
      <c r="BY85" s="10" t="str">
        <f t="shared" si="94"/>
        <v/>
      </c>
      <c r="BZ85" s="10" t="str">
        <f t="shared" si="94"/>
        <v/>
      </c>
      <c r="CA85" s="10" t="str">
        <f t="shared" si="94"/>
        <v/>
      </c>
      <c r="CB85" s="10" t="str">
        <f t="shared" si="94"/>
        <v/>
      </c>
      <c r="CC85" s="10" t="str">
        <f t="shared" si="94"/>
        <v/>
      </c>
      <c r="CD85" s="10" t="str">
        <f t="shared" si="94"/>
        <v/>
      </c>
      <c r="CE85" s="10" t="str">
        <f t="shared" si="94"/>
        <v/>
      </c>
      <c r="CF85" s="10" t="str">
        <f t="shared" si="94"/>
        <v/>
      </c>
      <c r="CG85" s="10" t="str">
        <f t="shared" si="94"/>
        <v/>
      </c>
      <c r="CH85" s="10" t="str">
        <f t="shared" si="94"/>
        <v/>
      </c>
      <c r="CI85" s="10" t="str">
        <f t="shared" si="94"/>
        <v/>
      </c>
      <c r="CJ85" s="10" t="str">
        <f t="shared" si="94"/>
        <v/>
      </c>
      <c r="CK85" s="10" t="str">
        <f t="shared" si="94"/>
        <v/>
      </c>
      <c r="CL85" s="10" t="str">
        <f t="shared" si="94"/>
        <v/>
      </c>
      <c r="CM85" s="10" t="str">
        <f t="shared" si="94"/>
        <v/>
      </c>
      <c r="CN85" s="10" t="str">
        <f t="shared" si="94"/>
        <v/>
      </c>
      <c r="CO85" s="10" t="str">
        <f t="shared" si="94"/>
        <v/>
      </c>
      <c r="CP85" s="10" t="str">
        <f t="shared" si="94"/>
        <v/>
      </c>
      <c r="CQ85" s="10" t="str">
        <f t="shared" si="94"/>
        <v/>
      </c>
      <c r="CR85" s="10" t="str">
        <f t="shared" si="94"/>
        <v/>
      </c>
      <c r="CS85" s="10" t="str">
        <f t="shared" si="94"/>
        <v/>
      </c>
      <c r="CT85" s="10" t="str">
        <f t="shared" si="94"/>
        <v/>
      </c>
      <c r="CU85" s="10" t="str">
        <f t="shared" si="94"/>
        <v/>
      </c>
      <c r="CV85" s="10" t="str">
        <f t="shared" si="94"/>
        <v/>
      </c>
      <c r="CW85" s="10" t="str">
        <f t="shared" si="94"/>
        <v/>
      </c>
      <c r="CX85" s="10" t="str">
        <f t="shared" si="94"/>
        <v/>
      </c>
      <c r="CY85" s="10" t="str">
        <f t="shared" si="94"/>
        <v/>
      </c>
      <c r="CZ85" s="10" t="str">
        <f t="shared" si="94"/>
        <v/>
      </c>
      <c r="DA85" s="10" t="str">
        <f t="shared" si="94"/>
        <v/>
      </c>
      <c r="DB85" s="10" t="str">
        <f t="shared" si="94"/>
        <v/>
      </c>
      <c r="DC85" s="10" t="str">
        <f t="shared" si="94"/>
        <v/>
      </c>
      <c r="DD85" s="10" t="str">
        <f t="shared" si="94"/>
        <v/>
      </c>
      <c r="DE85" s="10" t="str">
        <f t="shared" si="94"/>
        <v/>
      </c>
      <c r="DF85" s="10" t="str">
        <f t="shared" si="94"/>
        <v/>
      </c>
      <c r="DG85" s="10" t="str">
        <f t="shared" si="94"/>
        <v/>
      </c>
      <c r="DH85" s="10" t="str">
        <f t="shared" si="94"/>
        <v/>
      </c>
      <c r="DI85" s="10" t="str">
        <f t="shared" si="94"/>
        <v/>
      </c>
      <c r="DJ85" s="10" t="str">
        <f t="shared" si="94"/>
        <v/>
      </c>
    </row>
    <row r="86" spans="1:114" ht="13.5" customHeight="1">
      <c r="A86" s="1">
        <f>Gerenciamento!D86</f>
        <v>0</v>
      </c>
      <c r="B86" s="1" t="e">
        <f t="shared" si="2"/>
        <v>#VALUE!</v>
      </c>
      <c r="C86" s="2" t="e">
        <f t="shared" si="6"/>
        <v>#VALUE!</v>
      </c>
      <c r="D86" s="2" t="e">
        <f t="shared" si="7"/>
        <v>#VALUE!</v>
      </c>
      <c r="E86" s="2" t="e">
        <f t="shared" si="8"/>
        <v>#VALUE!</v>
      </c>
      <c r="F86" s="2" t="e">
        <f t="shared" si="9"/>
        <v>#VALUE!</v>
      </c>
      <c r="G86" s="5" t="e">
        <f t="shared" si="15"/>
        <v>#VALUE!</v>
      </c>
      <c r="H86" s="1" t="e">
        <f t="shared" si="10"/>
        <v>#VALUE!</v>
      </c>
      <c r="I86" s="1" t="e">
        <f t="shared" si="12"/>
        <v>#VALUE!</v>
      </c>
      <c r="J86" s="6" t="e">
        <f t="shared" si="3"/>
        <v>#VALUE!</v>
      </c>
      <c r="M86" s="9" t="b">
        <f t="shared" si="4"/>
        <v>0</v>
      </c>
      <c r="N86" s="10" t="e">
        <f t="shared" ref="N86:DJ86" si="95">IF(N$1&gt;$L$2,"",IF(N$1=$L$2,1,IF($L$2-N$1=$L$1-$M86,$L$3^($L$1-$M86),($L$3*N87*O87/(N87+($L$3-1)*O87)))))</f>
        <v>#DIV/0!</v>
      </c>
      <c r="O86" s="10" t="e">
        <f t="shared" si="95"/>
        <v>#DIV/0!</v>
      </c>
      <c r="P86" s="10">
        <f t="shared" si="95"/>
        <v>1</v>
      </c>
      <c r="Q86" s="10" t="str">
        <f t="shared" si="95"/>
        <v/>
      </c>
      <c r="R86" s="10" t="str">
        <f t="shared" si="95"/>
        <v/>
      </c>
      <c r="S86" s="10" t="str">
        <f t="shared" si="95"/>
        <v/>
      </c>
      <c r="T86" s="10" t="str">
        <f t="shared" si="95"/>
        <v/>
      </c>
      <c r="U86" s="10" t="str">
        <f t="shared" si="95"/>
        <v/>
      </c>
      <c r="V86" s="10" t="str">
        <f t="shared" si="95"/>
        <v/>
      </c>
      <c r="W86" s="10" t="str">
        <f t="shared" si="95"/>
        <v/>
      </c>
      <c r="X86" s="10" t="str">
        <f t="shared" si="95"/>
        <v/>
      </c>
      <c r="Y86" s="10" t="str">
        <f t="shared" si="95"/>
        <v/>
      </c>
      <c r="Z86" s="10" t="str">
        <f t="shared" si="95"/>
        <v/>
      </c>
      <c r="AA86" s="10" t="str">
        <f t="shared" si="95"/>
        <v/>
      </c>
      <c r="AB86" s="10" t="str">
        <f t="shared" si="95"/>
        <v/>
      </c>
      <c r="AC86" s="10" t="str">
        <f t="shared" si="95"/>
        <v/>
      </c>
      <c r="AD86" s="10" t="str">
        <f t="shared" si="95"/>
        <v/>
      </c>
      <c r="AE86" s="10" t="str">
        <f t="shared" si="95"/>
        <v/>
      </c>
      <c r="AF86" s="10" t="str">
        <f t="shared" si="95"/>
        <v/>
      </c>
      <c r="AG86" s="10" t="str">
        <f t="shared" si="95"/>
        <v/>
      </c>
      <c r="AH86" s="10" t="str">
        <f t="shared" si="95"/>
        <v/>
      </c>
      <c r="AI86" s="10" t="str">
        <f t="shared" si="95"/>
        <v/>
      </c>
      <c r="AJ86" s="10" t="str">
        <f t="shared" si="95"/>
        <v/>
      </c>
      <c r="AK86" s="10" t="str">
        <f t="shared" si="95"/>
        <v/>
      </c>
      <c r="AL86" s="10" t="str">
        <f t="shared" si="95"/>
        <v/>
      </c>
      <c r="AM86" s="10" t="str">
        <f t="shared" si="95"/>
        <v/>
      </c>
      <c r="AN86" s="10" t="str">
        <f t="shared" si="95"/>
        <v/>
      </c>
      <c r="AO86" s="10" t="str">
        <f t="shared" si="95"/>
        <v/>
      </c>
      <c r="AP86" s="10" t="str">
        <f t="shared" si="95"/>
        <v/>
      </c>
      <c r="AQ86" s="10" t="str">
        <f t="shared" si="95"/>
        <v/>
      </c>
      <c r="AR86" s="10" t="str">
        <f t="shared" si="95"/>
        <v/>
      </c>
      <c r="AS86" s="10" t="str">
        <f t="shared" si="95"/>
        <v/>
      </c>
      <c r="AT86" s="10" t="str">
        <f t="shared" si="95"/>
        <v/>
      </c>
      <c r="AU86" s="10" t="str">
        <f t="shared" si="95"/>
        <v/>
      </c>
      <c r="AV86" s="10" t="str">
        <f t="shared" si="95"/>
        <v/>
      </c>
      <c r="AW86" s="10" t="str">
        <f t="shared" si="95"/>
        <v/>
      </c>
      <c r="AX86" s="10" t="str">
        <f t="shared" si="95"/>
        <v/>
      </c>
      <c r="AY86" s="10" t="str">
        <f t="shared" si="95"/>
        <v/>
      </c>
      <c r="AZ86" s="10" t="str">
        <f t="shared" si="95"/>
        <v/>
      </c>
      <c r="BA86" s="10" t="str">
        <f t="shared" si="95"/>
        <v/>
      </c>
      <c r="BB86" s="10" t="str">
        <f t="shared" si="95"/>
        <v/>
      </c>
      <c r="BC86" s="10" t="str">
        <f t="shared" si="95"/>
        <v/>
      </c>
      <c r="BD86" s="10" t="str">
        <f t="shared" si="95"/>
        <v/>
      </c>
      <c r="BE86" s="10" t="str">
        <f t="shared" si="95"/>
        <v/>
      </c>
      <c r="BF86" s="10" t="str">
        <f t="shared" si="95"/>
        <v/>
      </c>
      <c r="BG86" s="10" t="str">
        <f t="shared" si="95"/>
        <v/>
      </c>
      <c r="BH86" s="10" t="str">
        <f t="shared" si="95"/>
        <v/>
      </c>
      <c r="BI86" s="10" t="str">
        <f t="shared" si="95"/>
        <v/>
      </c>
      <c r="BJ86" s="10" t="str">
        <f t="shared" si="95"/>
        <v/>
      </c>
      <c r="BK86" s="10" t="str">
        <f t="shared" si="95"/>
        <v/>
      </c>
      <c r="BL86" s="10" t="str">
        <f t="shared" si="95"/>
        <v/>
      </c>
      <c r="BM86" s="10" t="str">
        <f t="shared" si="95"/>
        <v/>
      </c>
      <c r="BN86" s="10" t="str">
        <f t="shared" si="95"/>
        <v/>
      </c>
      <c r="BO86" s="10" t="str">
        <f t="shared" si="95"/>
        <v/>
      </c>
      <c r="BP86" s="10" t="str">
        <f t="shared" si="95"/>
        <v/>
      </c>
      <c r="BQ86" s="10" t="str">
        <f t="shared" si="95"/>
        <v/>
      </c>
      <c r="BR86" s="10" t="str">
        <f t="shared" si="95"/>
        <v/>
      </c>
      <c r="BS86" s="10" t="str">
        <f t="shared" si="95"/>
        <v/>
      </c>
      <c r="BT86" s="10" t="str">
        <f t="shared" si="95"/>
        <v/>
      </c>
      <c r="BU86" s="10" t="str">
        <f t="shared" si="95"/>
        <v/>
      </c>
      <c r="BV86" s="10" t="str">
        <f t="shared" si="95"/>
        <v/>
      </c>
      <c r="BW86" s="10" t="str">
        <f t="shared" si="95"/>
        <v/>
      </c>
      <c r="BX86" s="10" t="str">
        <f t="shared" si="95"/>
        <v/>
      </c>
      <c r="BY86" s="10" t="str">
        <f t="shared" si="95"/>
        <v/>
      </c>
      <c r="BZ86" s="10" t="str">
        <f t="shared" si="95"/>
        <v/>
      </c>
      <c r="CA86" s="10" t="str">
        <f t="shared" si="95"/>
        <v/>
      </c>
      <c r="CB86" s="10" t="str">
        <f t="shared" si="95"/>
        <v/>
      </c>
      <c r="CC86" s="10" t="str">
        <f t="shared" si="95"/>
        <v/>
      </c>
      <c r="CD86" s="10" t="str">
        <f t="shared" si="95"/>
        <v/>
      </c>
      <c r="CE86" s="10" t="str">
        <f t="shared" si="95"/>
        <v/>
      </c>
      <c r="CF86" s="10" t="str">
        <f t="shared" si="95"/>
        <v/>
      </c>
      <c r="CG86" s="10" t="str">
        <f t="shared" si="95"/>
        <v/>
      </c>
      <c r="CH86" s="10" t="str">
        <f t="shared" si="95"/>
        <v/>
      </c>
      <c r="CI86" s="10" t="str">
        <f t="shared" si="95"/>
        <v/>
      </c>
      <c r="CJ86" s="10" t="str">
        <f t="shared" si="95"/>
        <v/>
      </c>
      <c r="CK86" s="10" t="str">
        <f t="shared" si="95"/>
        <v/>
      </c>
      <c r="CL86" s="10" t="str">
        <f t="shared" si="95"/>
        <v/>
      </c>
      <c r="CM86" s="10" t="str">
        <f t="shared" si="95"/>
        <v/>
      </c>
      <c r="CN86" s="10" t="str">
        <f t="shared" si="95"/>
        <v/>
      </c>
      <c r="CO86" s="10" t="str">
        <f t="shared" si="95"/>
        <v/>
      </c>
      <c r="CP86" s="10" t="str">
        <f t="shared" si="95"/>
        <v/>
      </c>
      <c r="CQ86" s="10" t="str">
        <f t="shared" si="95"/>
        <v/>
      </c>
      <c r="CR86" s="10" t="str">
        <f t="shared" si="95"/>
        <v/>
      </c>
      <c r="CS86" s="10" t="str">
        <f t="shared" si="95"/>
        <v/>
      </c>
      <c r="CT86" s="10" t="str">
        <f t="shared" si="95"/>
        <v/>
      </c>
      <c r="CU86" s="10" t="str">
        <f t="shared" si="95"/>
        <v/>
      </c>
      <c r="CV86" s="10" t="str">
        <f t="shared" si="95"/>
        <v/>
      </c>
      <c r="CW86" s="10" t="str">
        <f t="shared" si="95"/>
        <v/>
      </c>
      <c r="CX86" s="10" t="str">
        <f t="shared" si="95"/>
        <v/>
      </c>
      <c r="CY86" s="10" t="str">
        <f t="shared" si="95"/>
        <v/>
      </c>
      <c r="CZ86" s="10" t="str">
        <f t="shared" si="95"/>
        <v/>
      </c>
      <c r="DA86" s="10" t="str">
        <f t="shared" si="95"/>
        <v/>
      </c>
      <c r="DB86" s="10" t="str">
        <f t="shared" si="95"/>
        <v/>
      </c>
      <c r="DC86" s="10" t="str">
        <f t="shared" si="95"/>
        <v/>
      </c>
      <c r="DD86" s="10" t="str">
        <f t="shared" si="95"/>
        <v/>
      </c>
      <c r="DE86" s="10" t="str">
        <f t="shared" si="95"/>
        <v/>
      </c>
      <c r="DF86" s="10" t="str">
        <f t="shared" si="95"/>
        <v/>
      </c>
      <c r="DG86" s="10" t="str">
        <f t="shared" si="95"/>
        <v/>
      </c>
      <c r="DH86" s="10" t="str">
        <f t="shared" si="95"/>
        <v/>
      </c>
      <c r="DI86" s="10" t="str">
        <f t="shared" si="95"/>
        <v/>
      </c>
      <c r="DJ86" s="10" t="str">
        <f t="shared" si="95"/>
        <v/>
      </c>
    </row>
    <row r="87" spans="1:114" ht="13.5" customHeight="1">
      <c r="A87" s="1">
        <f>Gerenciamento!D87</f>
        <v>0</v>
      </c>
      <c r="B87" s="1" t="e">
        <f t="shared" si="2"/>
        <v>#VALUE!</v>
      </c>
      <c r="C87" s="2" t="e">
        <f t="shared" si="6"/>
        <v>#VALUE!</v>
      </c>
      <c r="D87" s="2" t="e">
        <f t="shared" si="7"/>
        <v>#VALUE!</v>
      </c>
      <c r="E87" s="2" t="e">
        <f t="shared" si="8"/>
        <v>#VALUE!</v>
      </c>
      <c r="F87" s="2" t="e">
        <f t="shared" si="9"/>
        <v>#VALUE!</v>
      </c>
      <c r="G87" s="5" t="e">
        <f t="shared" si="15"/>
        <v>#VALUE!</v>
      </c>
      <c r="H87" s="1" t="e">
        <f t="shared" si="10"/>
        <v>#VALUE!</v>
      </c>
      <c r="I87" s="1" t="e">
        <f t="shared" si="12"/>
        <v>#VALUE!</v>
      </c>
      <c r="J87" s="6" t="e">
        <f t="shared" si="3"/>
        <v>#VALUE!</v>
      </c>
      <c r="M87" s="9" t="b">
        <f t="shared" si="4"/>
        <v>0</v>
      </c>
      <c r="N87" s="10" t="e">
        <f t="shared" ref="N87:DJ87" si="96">IF(N$1&gt;$L$2,"",IF(N$1=$L$2,1,IF($L$2-N$1=$L$1-$M87,$L$3^($L$1-$M87),($L$3*N88*O88/(N88+($L$3-1)*O88)))))</f>
        <v>#DIV/0!</v>
      </c>
      <c r="O87" s="10" t="e">
        <f t="shared" si="96"/>
        <v>#DIV/0!</v>
      </c>
      <c r="P87" s="10">
        <f t="shared" si="96"/>
        <v>1</v>
      </c>
      <c r="Q87" s="10" t="str">
        <f t="shared" si="96"/>
        <v/>
      </c>
      <c r="R87" s="10" t="str">
        <f t="shared" si="96"/>
        <v/>
      </c>
      <c r="S87" s="10" t="str">
        <f t="shared" si="96"/>
        <v/>
      </c>
      <c r="T87" s="10" t="str">
        <f t="shared" si="96"/>
        <v/>
      </c>
      <c r="U87" s="10" t="str">
        <f t="shared" si="96"/>
        <v/>
      </c>
      <c r="V87" s="10" t="str">
        <f t="shared" si="96"/>
        <v/>
      </c>
      <c r="W87" s="10" t="str">
        <f t="shared" si="96"/>
        <v/>
      </c>
      <c r="X87" s="10" t="str">
        <f t="shared" si="96"/>
        <v/>
      </c>
      <c r="Y87" s="10" t="str">
        <f t="shared" si="96"/>
        <v/>
      </c>
      <c r="Z87" s="10" t="str">
        <f t="shared" si="96"/>
        <v/>
      </c>
      <c r="AA87" s="10" t="str">
        <f t="shared" si="96"/>
        <v/>
      </c>
      <c r="AB87" s="10" t="str">
        <f t="shared" si="96"/>
        <v/>
      </c>
      <c r="AC87" s="10" t="str">
        <f t="shared" si="96"/>
        <v/>
      </c>
      <c r="AD87" s="10" t="str">
        <f t="shared" si="96"/>
        <v/>
      </c>
      <c r="AE87" s="10" t="str">
        <f t="shared" si="96"/>
        <v/>
      </c>
      <c r="AF87" s="10" t="str">
        <f t="shared" si="96"/>
        <v/>
      </c>
      <c r="AG87" s="10" t="str">
        <f t="shared" si="96"/>
        <v/>
      </c>
      <c r="AH87" s="10" t="str">
        <f t="shared" si="96"/>
        <v/>
      </c>
      <c r="AI87" s="10" t="str">
        <f t="shared" si="96"/>
        <v/>
      </c>
      <c r="AJ87" s="10" t="str">
        <f t="shared" si="96"/>
        <v/>
      </c>
      <c r="AK87" s="10" t="str">
        <f t="shared" si="96"/>
        <v/>
      </c>
      <c r="AL87" s="10" t="str">
        <f t="shared" si="96"/>
        <v/>
      </c>
      <c r="AM87" s="10" t="str">
        <f t="shared" si="96"/>
        <v/>
      </c>
      <c r="AN87" s="10" t="str">
        <f t="shared" si="96"/>
        <v/>
      </c>
      <c r="AO87" s="10" t="str">
        <f t="shared" si="96"/>
        <v/>
      </c>
      <c r="AP87" s="10" t="str">
        <f t="shared" si="96"/>
        <v/>
      </c>
      <c r="AQ87" s="10" t="str">
        <f t="shared" si="96"/>
        <v/>
      </c>
      <c r="AR87" s="10" t="str">
        <f t="shared" si="96"/>
        <v/>
      </c>
      <c r="AS87" s="10" t="str">
        <f t="shared" si="96"/>
        <v/>
      </c>
      <c r="AT87" s="10" t="str">
        <f t="shared" si="96"/>
        <v/>
      </c>
      <c r="AU87" s="10" t="str">
        <f t="shared" si="96"/>
        <v/>
      </c>
      <c r="AV87" s="10" t="str">
        <f t="shared" si="96"/>
        <v/>
      </c>
      <c r="AW87" s="10" t="str">
        <f t="shared" si="96"/>
        <v/>
      </c>
      <c r="AX87" s="10" t="str">
        <f t="shared" si="96"/>
        <v/>
      </c>
      <c r="AY87" s="10" t="str">
        <f t="shared" si="96"/>
        <v/>
      </c>
      <c r="AZ87" s="10" t="str">
        <f t="shared" si="96"/>
        <v/>
      </c>
      <c r="BA87" s="10" t="str">
        <f t="shared" si="96"/>
        <v/>
      </c>
      <c r="BB87" s="10" t="str">
        <f t="shared" si="96"/>
        <v/>
      </c>
      <c r="BC87" s="10" t="str">
        <f t="shared" si="96"/>
        <v/>
      </c>
      <c r="BD87" s="10" t="str">
        <f t="shared" si="96"/>
        <v/>
      </c>
      <c r="BE87" s="10" t="str">
        <f t="shared" si="96"/>
        <v/>
      </c>
      <c r="BF87" s="10" t="str">
        <f t="shared" si="96"/>
        <v/>
      </c>
      <c r="BG87" s="10" t="str">
        <f t="shared" si="96"/>
        <v/>
      </c>
      <c r="BH87" s="10" t="str">
        <f t="shared" si="96"/>
        <v/>
      </c>
      <c r="BI87" s="10" t="str">
        <f t="shared" si="96"/>
        <v/>
      </c>
      <c r="BJ87" s="10" t="str">
        <f t="shared" si="96"/>
        <v/>
      </c>
      <c r="BK87" s="10" t="str">
        <f t="shared" si="96"/>
        <v/>
      </c>
      <c r="BL87" s="10" t="str">
        <f t="shared" si="96"/>
        <v/>
      </c>
      <c r="BM87" s="10" t="str">
        <f t="shared" si="96"/>
        <v/>
      </c>
      <c r="BN87" s="10" t="str">
        <f t="shared" si="96"/>
        <v/>
      </c>
      <c r="BO87" s="10" t="str">
        <f t="shared" si="96"/>
        <v/>
      </c>
      <c r="BP87" s="10" t="str">
        <f t="shared" si="96"/>
        <v/>
      </c>
      <c r="BQ87" s="10" t="str">
        <f t="shared" si="96"/>
        <v/>
      </c>
      <c r="BR87" s="10" t="str">
        <f t="shared" si="96"/>
        <v/>
      </c>
      <c r="BS87" s="10" t="str">
        <f t="shared" si="96"/>
        <v/>
      </c>
      <c r="BT87" s="10" t="str">
        <f t="shared" si="96"/>
        <v/>
      </c>
      <c r="BU87" s="10" t="str">
        <f t="shared" si="96"/>
        <v/>
      </c>
      <c r="BV87" s="10" t="str">
        <f t="shared" si="96"/>
        <v/>
      </c>
      <c r="BW87" s="10" t="str">
        <f t="shared" si="96"/>
        <v/>
      </c>
      <c r="BX87" s="10" t="str">
        <f t="shared" si="96"/>
        <v/>
      </c>
      <c r="BY87" s="10" t="str">
        <f t="shared" si="96"/>
        <v/>
      </c>
      <c r="BZ87" s="10" t="str">
        <f t="shared" si="96"/>
        <v/>
      </c>
      <c r="CA87" s="10" t="str">
        <f t="shared" si="96"/>
        <v/>
      </c>
      <c r="CB87" s="10" t="str">
        <f t="shared" si="96"/>
        <v/>
      </c>
      <c r="CC87" s="10" t="str">
        <f t="shared" si="96"/>
        <v/>
      </c>
      <c r="CD87" s="10" t="str">
        <f t="shared" si="96"/>
        <v/>
      </c>
      <c r="CE87" s="10" t="str">
        <f t="shared" si="96"/>
        <v/>
      </c>
      <c r="CF87" s="10" t="str">
        <f t="shared" si="96"/>
        <v/>
      </c>
      <c r="CG87" s="10" t="str">
        <f t="shared" si="96"/>
        <v/>
      </c>
      <c r="CH87" s="10" t="str">
        <f t="shared" si="96"/>
        <v/>
      </c>
      <c r="CI87" s="10" t="str">
        <f t="shared" si="96"/>
        <v/>
      </c>
      <c r="CJ87" s="10" t="str">
        <f t="shared" si="96"/>
        <v/>
      </c>
      <c r="CK87" s="10" t="str">
        <f t="shared" si="96"/>
        <v/>
      </c>
      <c r="CL87" s="10" t="str">
        <f t="shared" si="96"/>
        <v/>
      </c>
      <c r="CM87" s="10" t="str">
        <f t="shared" si="96"/>
        <v/>
      </c>
      <c r="CN87" s="10" t="str">
        <f t="shared" si="96"/>
        <v/>
      </c>
      <c r="CO87" s="10" t="str">
        <f t="shared" si="96"/>
        <v/>
      </c>
      <c r="CP87" s="10" t="str">
        <f t="shared" si="96"/>
        <v/>
      </c>
      <c r="CQ87" s="10" t="str">
        <f t="shared" si="96"/>
        <v/>
      </c>
      <c r="CR87" s="10" t="str">
        <f t="shared" si="96"/>
        <v/>
      </c>
      <c r="CS87" s="10" t="str">
        <f t="shared" si="96"/>
        <v/>
      </c>
      <c r="CT87" s="10" t="str">
        <f t="shared" si="96"/>
        <v/>
      </c>
      <c r="CU87" s="10" t="str">
        <f t="shared" si="96"/>
        <v/>
      </c>
      <c r="CV87" s="10" t="str">
        <f t="shared" si="96"/>
        <v/>
      </c>
      <c r="CW87" s="10" t="str">
        <f t="shared" si="96"/>
        <v/>
      </c>
      <c r="CX87" s="10" t="str">
        <f t="shared" si="96"/>
        <v/>
      </c>
      <c r="CY87" s="10" t="str">
        <f t="shared" si="96"/>
        <v/>
      </c>
      <c r="CZ87" s="10" t="str">
        <f t="shared" si="96"/>
        <v/>
      </c>
      <c r="DA87" s="10" t="str">
        <f t="shared" si="96"/>
        <v/>
      </c>
      <c r="DB87" s="10" t="str">
        <f t="shared" si="96"/>
        <v/>
      </c>
      <c r="DC87" s="10" t="str">
        <f t="shared" si="96"/>
        <v/>
      </c>
      <c r="DD87" s="10" t="str">
        <f t="shared" si="96"/>
        <v/>
      </c>
      <c r="DE87" s="10" t="str">
        <f t="shared" si="96"/>
        <v/>
      </c>
      <c r="DF87" s="10" t="str">
        <f t="shared" si="96"/>
        <v/>
      </c>
      <c r="DG87" s="10" t="str">
        <f t="shared" si="96"/>
        <v/>
      </c>
      <c r="DH87" s="10" t="str">
        <f t="shared" si="96"/>
        <v/>
      </c>
      <c r="DI87" s="10" t="str">
        <f t="shared" si="96"/>
        <v/>
      </c>
      <c r="DJ87" s="10" t="str">
        <f t="shared" si="96"/>
        <v/>
      </c>
    </row>
    <row r="88" spans="1:114" ht="13.5" customHeight="1">
      <c r="A88" s="1">
        <f>Gerenciamento!D88</f>
        <v>0</v>
      </c>
      <c r="B88" s="1" t="e">
        <f t="shared" si="2"/>
        <v>#VALUE!</v>
      </c>
      <c r="C88" s="2" t="e">
        <f t="shared" si="6"/>
        <v>#VALUE!</v>
      </c>
      <c r="D88" s="2" t="e">
        <f t="shared" si="7"/>
        <v>#VALUE!</v>
      </c>
      <c r="E88" s="2" t="e">
        <f t="shared" si="8"/>
        <v>#VALUE!</v>
      </c>
      <c r="F88" s="2" t="e">
        <f t="shared" si="9"/>
        <v>#VALUE!</v>
      </c>
      <c r="G88" s="5" t="e">
        <f t="shared" si="15"/>
        <v>#VALUE!</v>
      </c>
      <c r="H88" s="1" t="e">
        <f t="shared" si="10"/>
        <v>#VALUE!</v>
      </c>
      <c r="I88" s="1" t="e">
        <f t="shared" si="12"/>
        <v>#VALUE!</v>
      </c>
      <c r="J88" s="6" t="e">
        <f t="shared" si="3"/>
        <v>#VALUE!</v>
      </c>
      <c r="M88" s="9" t="b">
        <f t="shared" si="4"/>
        <v>0</v>
      </c>
      <c r="N88" s="10" t="e">
        <f t="shared" ref="N88:DJ88" si="97">IF(N$1&gt;$L$2,"",IF(N$1=$L$2,1,IF($L$2-N$1=$L$1-$M88,$L$3^($L$1-$M88),($L$3*N89*O89/(N89+($L$3-1)*O89)))))</f>
        <v>#DIV/0!</v>
      </c>
      <c r="O88" s="10" t="e">
        <f t="shared" si="97"/>
        <v>#DIV/0!</v>
      </c>
      <c r="P88" s="10">
        <f t="shared" si="97"/>
        <v>1</v>
      </c>
      <c r="Q88" s="10" t="str">
        <f t="shared" si="97"/>
        <v/>
      </c>
      <c r="R88" s="10" t="str">
        <f t="shared" si="97"/>
        <v/>
      </c>
      <c r="S88" s="10" t="str">
        <f t="shared" si="97"/>
        <v/>
      </c>
      <c r="T88" s="10" t="str">
        <f t="shared" si="97"/>
        <v/>
      </c>
      <c r="U88" s="10" t="str">
        <f t="shared" si="97"/>
        <v/>
      </c>
      <c r="V88" s="10" t="str">
        <f t="shared" si="97"/>
        <v/>
      </c>
      <c r="W88" s="10" t="str">
        <f t="shared" si="97"/>
        <v/>
      </c>
      <c r="X88" s="10" t="str">
        <f t="shared" si="97"/>
        <v/>
      </c>
      <c r="Y88" s="10" t="str">
        <f t="shared" si="97"/>
        <v/>
      </c>
      <c r="Z88" s="10" t="str">
        <f t="shared" si="97"/>
        <v/>
      </c>
      <c r="AA88" s="10" t="str">
        <f t="shared" si="97"/>
        <v/>
      </c>
      <c r="AB88" s="10" t="str">
        <f t="shared" si="97"/>
        <v/>
      </c>
      <c r="AC88" s="10" t="str">
        <f t="shared" si="97"/>
        <v/>
      </c>
      <c r="AD88" s="10" t="str">
        <f t="shared" si="97"/>
        <v/>
      </c>
      <c r="AE88" s="10" t="str">
        <f t="shared" si="97"/>
        <v/>
      </c>
      <c r="AF88" s="10" t="str">
        <f t="shared" si="97"/>
        <v/>
      </c>
      <c r="AG88" s="10" t="str">
        <f t="shared" si="97"/>
        <v/>
      </c>
      <c r="AH88" s="10" t="str">
        <f t="shared" si="97"/>
        <v/>
      </c>
      <c r="AI88" s="10" t="str">
        <f t="shared" si="97"/>
        <v/>
      </c>
      <c r="AJ88" s="10" t="str">
        <f t="shared" si="97"/>
        <v/>
      </c>
      <c r="AK88" s="10" t="str">
        <f t="shared" si="97"/>
        <v/>
      </c>
      <c r="AL88" s="10" t="str">
        <f t="shared" si="97"/>
        <v/>
      </c>
      <c r="AM88" s="10" t="str">
        <f t="shared" si="97"/>
        <v/>
      </c>
      <c r="AN88" s="10" t="str">
        <f t="shared" si="97"/>
        <v/>
      </c>
      <c r="AO88" s="10" t="str">
        <f t="shared" si="97"/>
        <v/>
      </c>
      <c r="AP88" s="10" t="str">
        <f t="shared" si="97"/>
        <v/>
      </c>
      <c r="AQ88" s="10" t="str">
        <f t="shared" si="97"/>
        <v/>
      </c>
      <c r="AR88" s="10" t="str">
        <f t="shared" si="97"/>
        <v/>
      </c>
      <c r="AS88" s="10" t="str">
        <f t="shared" si="97"/>
        <v/>
      </c>
      <c r="AT88" s="10" t="str">
        <f t="shared" si="97"/>
        <v/>
      </c>
      <c r="AU88" s="10" t="str">
        <f t="shared" si="97"/>
        <v/>
      </c>
      <c r="AV88" s="10" t="str">
        <f t="shared" si="97"/>
        <v/>
      </c>
      <c r="AW88" s="10" t="str">
        <f t="shared" si="97"/>
        <v/>
      </c>
      <c r="AX88" s="10" t="str">
        <f t="shared" si="97"/>
        <v/>
      </c>
      <c r="AY88" s="10" t="str">
        <f t="shared" si="97"/>
        <v/>
      </c>
      <c r="AZ88" s="10" t="str">
        <f t="shared" si="97"/>
        <v/>
      </c>
      <c r="BA88" s="10" t="str">
        <f t="shared" si="97"/>
        <v/>
      </c>
      <c r="BB88" s="10" t="str">
        <f t="shared" si="97"/>
        <v/>
      </c>
      <c r="BC88" s="10" t="str">
        <f t="shared" si="97"/>
        <v/>
      </c>
      <c r="BD88" s="10" t="str">
        <f t="shared" si="97"/>
        <v/>
      </c>
      <c r="BE88" s="10" t="str">
        <f t="shared" si="97"/>
        <v/>
      </c>
      <c r="BF88" s="10" t="str">
        <f t="shared" si="97"/>
        <v/>
      </c>
      <c r="BG88" s="10" t="str">
        <f t="shared" si="97"/>
        <v/>
      </c>
      <c r="BH88" s="10" t="str">
        <f t="shared" si="97"/>
        <v/>
      </c>
      <c r="BI88" s="10" t="str">
        <f t="shared" si="97"/>
        <v/>
      </c>
      <c r="BJ88" s="10" t="str">
        <f t="shared" si="97"/>
        <v/>
      </c>
      <c r="BK88" s="10" t="str">
        <f t="shared" si="97"/>
        <v/>
      </c>
      <c r="BL88" s="10" t="str">
        <f t="shared" si="97"/>
        <v/>
      </c>
      <c r="BM88" s="10" t="str">
        <f t="shared" si="97"/>
        <v/>
      </c>
      <c r="BN88" s="10" t="str">
        <f t="shared" si="97"/>
        <v/>
      </c>
      <c r="BO88" s="10" t="str">
        <f t="shared" si="97"/>
        <v/>
      </c>
      <c r="BP88" s="10" t="str">
        <f t="shared" si="97"/>
        <v/>
      </c>
      <c r="BQ88" s="10" t="str">
        <f t="shared" si="97"/>
        <v/>
      </c>
      <c r="BR88" s="10" t="str">
        <f t="shared" si="97"/>
        <v/>
      </c>
      <c r="BS88" s="10" t="str">
        <f t="shared" si="97"/>
        <v/>
      </c>
      <c r="BT88" s="10" t="str">
        <f t="shared" si="97"/>
        <v/>
      </c>
      <c r="BU88" s="10" t="str">
        <f t="shared" si="97"/>
        <v/>
      </c>
      <c r="BV88" s="10" t="str">
        <f t="shared" si="97"/>
        <v/>
      </c>
      <c r="BW88" s="10" t="str">
        <f t="shared" si="97"/>
        <v/>
      </c>
      <c r="BX88" s="10" t="str">
        <f t="shared" si="97"/>
        <v/>
      </c>
      <c r="BY88" s="10" t="str">
        <f t="shared" si="97"/>
        <v/>
      </c>
      <c r="BZ88" s="10" t="str">
        <f t="shared" si="97"/>
        <v/>
      </c>
      <c r="CA88" s="10" t="str">
        <f t="shared" si="97"/>
        <v/>
      </c>
      <c r="CB88" s="10" t="str">
        <f t="shared" si="97"/>
        <v/>
      </c>
      <c r="CC88" s="10" t="str">
        <f t="shared" si="97"/>
        <v/>
      </c>
      <c r="CD88" s="10" t="str">
        <f t="shared" si="97"/>
        <v/>
      </c>
      <c r="CE88" s="10" t="str">
        <f t="shared" si="97"/>
        <v/>
      </c>
      <c r="CF88" s="10" t="str">
        <f t="shared" si="97"/>
        <v/>
      </c>
      <c r="CG88" s="10" t="str">
        <f t="shared" si="97"/>
        <v/>
      </c>
      <c r="CH88" s="10" t="str">
        <f t="shared" si="97"/>
        <v/>
      </c>
      <c r="CI88" s="10" t="str">
        <f t="shared" si="97"/>
        <v/>
      </c>
      <c r="CJ88" s="10" t="str">
        <f t="shared" si="97"/>
        <v/>
      </c>
      <c r="CK88" s="10" t="str">
        <f t="shared" si="97"/>
        <v/>
      </c>
      <c r="CL88" s="10" t="str">
        <f t="shared" si="97"/>
        <v/>
      </c>
      <c r="CM88" s="10" t="str">
        <f t="shared" si="97"/>
        <v/>
      </c>
      <c r="CN88" s="10" t="str">
        <f t="shared" si="97"/>
        <v/>
      </c>
      <c r="CO88" s="10" t="str">
        <f t="shared" si="97"/>
        <v/>
      </c>
      <c r="CP88" s="10" t="str">
        <f t="shared" si="97"/>
        <v/>
      </c>
      <c r="CQ88" s="10" t="str">
        <f t="shared" si="97"/>
        <v/>
      </c>
      <c r="CR88" s="10" t="str">
        <f t="shared" si="97"/>
        <v/>
      </c>
      <c r="CS88" s="10" t="str">
        <f t="shared" si="97"/>
        <v/>
      </c>
      <c r="CT88" s="10" t="str">
        <f t="shared" si="97"/>
        <v/>
      </c>
      <c r="CU88" s="10" t="str">
        <f t="shared" si="97"/>
        <v/>
      </c>
      <c r="CV88" s="10" t="str">
        <f t="shared" si="97"/>
        <v/>
      </c>
      <c r="CW88" s="10" t="str">
        <f t="shared" si="97"/>
        <v/>
      </c>
      <c r="CX88" s="10" t="str">
        <f t="shared" si="97"/>
        <v/>
      </c>
      <c r="CY88" s="10" t="str">
        <f t="shared" si="97"/>
        <v/>
      </c>
      <c r="CZ88" s="10" t="str">
        <f t="shared" si="97"/>
        <v/>
      </c>
      <c r="DA88" s="10" t="str">
        <f t="shared" si="97"/>
        <v/>
      </c>
      <c r="DB88" s="10" t="str">
        <f t="shared" si="97"/>
        <v/>
      </c>
      <c r="DC88" s="10" t="str">
        <f t="shared" si="97"/>
        <v/>
      </c>
      <c r="DD88" s="10" t="str">
        <f t="shared" si="97"/>
        <v/>
      </c>
      <c r="DE88" s="10" t="str">
        <f t="shared" si="97"/>
        <v/>
      </c>
      <c r="DF88" s="10" t="str">
        <f t="shared" si="97"/>
        <v/>
      </c>
      <c r="DG88" s="10" t="str">
        <f t="shared" si="97"/>
        <v/>
      </c>
      <c r="DH88" s="10" t="str">
        <f t="shared" si="97"/>
        <v/>
      </c>
      <c r="DI88" s="10" t="str">
        <f t="shared" si="97"/>
        <v/>
      </c>
      <c r="DJ88" s="10" t="str">
        <f t="shared" si="97"/>
        <v/>
      </c>
    </row>
    <row r="89" spans="1:114" ht="13.5" customHeight="1">
      <c r="A89" s="1">
        <f>Gerenciamento!D89</f>
        <v>0</v>
      </c>
      <c r="B89" s="1" t="e">
        <f t="shared" si="2"/>
        <v>#VALUE!</v>
      </c>
      <c r="C89" s="2" t="e">
        <f t="shared" si="6"/>
        <v>#VALUE!</v>
      </c>
      <c r="D89" s="2" t="e">
        <f t="shared" si="7"/>
        <v>#VALUE!</v>
      </c>
      <c r="E89" s="2" t="e">
        <f t="shared" si="8"/>
        <v>#VALUE!</v>
      </c>
      <c r="F89" s="2" t="e">
        <f t="shared" si="9"/>
        <v>#VALUE!</v>
      </c>
      <c r="G89" s="5" t="e">
        <f t="shared" si="15"/>
        <v>#VALUE!</v>
      </c>
      <c r="H89" s="1" t="e">
        <f t="shared" si="10"/>
        <v>#VALUE!</v>
      </c>
      <c r="I89" s="1" t="e">
        <f t="shared" si="12"/>
        <v>#VALUE!</v>
      </c>
      <c r="J89" s="6" t="e">
        <f t="shared" si="3"/>
        <v>#VALUE!</v>
      </c>
      <c r="M89" s="9" t="b">
        <f t="shared" si="4"/>
        <v>0</v>
      </c>
      <c r="N89" s="10" t="e">
        <f t="shared" ref="N89:DJ89" si="98">IF(N$1&gt;$L$2,"",IF(N$1=$L$2,1,IF($L$2-N$1=$L$1-$M89,$L$3^($L$1-$M89),($L$3*N90*O90/(N90+($L$3-1)*O90)))))</f>
        <v>#DIV/0!</v>
      </c>
      <c r="O89" s="10" t="e">
        <f t="shared" si="98"/>
        <v>#DIV/0!</v>
      </c>
      <c r="P89" s="10">
        <f t="shared" si="98"/>
        <v>1</v>
      </c>
      <c r="Q89" s="10" t="str">
        <f t="shared" si="98"/>
        <v/>
      </c>
      <c r="R89" s="10" t="str">
        <f t="shared" si="98"/>
        <v/>
      </c>
      <c r="S89" s="10" t="str">
        <f t="shared" si="98"/>
        <v/>
      </c>
      <c r="T89" s="10" t="str">
        <f t="shared" si="98"/>
        <v/>
      </c>
      <c r="U89" s="10" t="str">
        <f t="shared" si="98"/>
        <v/>
      </c>
      <c r="V89" s="10" t="str">
        <f t="shared" si="98"/>
        <v/>
      </c>
      <c r="W89" s="10" t="str">
        <f t="shared" si="98"/>
        <v/>
      </c>
      <c r="X89" s="10" t="str">
        <f t="shared" si="98"/>
        <v/>
      </c>
      <c r="Y89" s="10" t="str">
        <f t="shared" si="98"/>
        <v/>
      </c>
      <c r="Z89" s="10" t="str">
        <f t="shared" si="98"/>
        <v/>
      </c>
      <c r="AA89" s="10" t="str">
        <f t="shared" si="98"/>
        <v/>
      </c>
      <c r="AB89" s="10" t="str">
        <f t="shared" si="98"/>
        <v/>
      </c>
      <c r="AC89" s="10" t="str">
        <f t="shared" si="98"/>
        <v/>
      </c>
      <c r="AD89" s="10" t="str">
        <f t="shared" si="98"/>
        <v/>
      </c>
      <c r="AE89" s="10" t="str">
        <f t="shared" si="98"/>
        <v/>
      </c>
      <c r="AF89" s="10" t="str">
        <f t="shared" si="98"/>
        <v/>
      </c>
      <c r="AG89" s="10" t="str">
        <f t="shared" si="98"/>
        <v/>
      </c>
      <c r="AH89" s="10" t="str">
        <f t="shared" si="98"/>
        <v/>
      </c>
      <c r="AI89" s="10" t="str">
        <f t="shared" si="98"/>
        <v/>
      </c>
      <c r="AJ89" s="10" t="str">
        <f t="shared" si="98"/>
        <v/>
      </c>
      <c r="AK89" s="10" t="str">
        <f t="shared" si="98"/>
        <v/>
      </c>
      <c r="AL89" s="10" t="str">
        <f t="shared" si="98"/>
        <v/>
      </c>
      <c r="AM89" s="10" t="str">
        <f t="shared" si="98"/>
        <v/>
      </c>
      <c r="AN89" s="10" t="str">
        <f t="shared" si="98"/>
        <v/>
      </c>
      <c r="AO89" s="10" t="str">
        <f t="shared" si="98"/>
        <v/>
      </c>
      <c r="AP89" s="10" t="str">
        <f t="shared" si="98"/>
        <v/>
      </c>
      <c r="AQ89" s="10" t="str">
        <f t="shared" si="98"/>
        <v/>
      </c>
      <c r="AR89" s="10" t="str">
        <f t="shared" si="98"/>
        <v/>
      </c>
      <c r="AS89" s="10" t="str">
        <f t="shared" si="98"/>
        <v/>
      </c>
      <c r="AT89" s="10" t="str">
        <f t="shared" si="98"/>
        <v/>
      </c>
      <c r="AU89" s="10" t="str">
        <f t="shared" si="98"/>
        <v/>
      </c>
      <c r="AV89" s="10" t="str">
        <f t="shared" si="98"/>
        <v/>
      </c>
      <c r="AW89" s="10" t="str">
        <f t="shared" si="98"/>
        <v/>
      </c>
      <c r="AX89" s="10" t="str">
        <f t="shared" si="98"/>
        <v/>
      </c>
      <c r="AY89" s="10" t="str">
        <f t="shared" si="98"/>
        <v/>
      </c>
      <c r="AZ89" s="10" t="str">
        <f t="shared" si="98"/>
        <v/>
      </c>
      <c r="BA89" s="10" t="str">
        <f t="shared" si="98"/>
        <v/>
      </c>
      <c r="BB89" s="10" t="str">
        <f t="shared" si="98"/>
        <v/>
      </c>
      <c r="BC89" s="10" t="str">
        <f t="shared" si="98"/>
        <v/>
      </c>
      <c r="BD89" s="10" t="str">
        <f t="shared" si="98"/>
        <v/>
      </c>
      <c r="BE89" s="10" t="str">
        <f t="shared" si="98"/>
        <v/>
      </c>
      <c r="BF89" s="10" t="str">
        <f t="shared" si="98"/>
        <v/>
      </c>
      <c r="BG89" s="10" t="str">
        <f t="shared" si="98"/>
        <v/>
      </c>
      <c r="BH89" s="10" t="str">
        <f t="shared" si="98"/>
        <v/>
      </c>
      <c r="BI89" s="10" t="str">
        <f t="shared" si="98"/>
        <v/>
      </c>
      <c r="BJ89" s="10" t="str">
        <f t="shared" si="98"/>
        <v/>
      </c>
      <c r="BK89" s="10" t="str">
        <f t="shared" si="98"/>
        <v/>
      </c>
      <c r="BL89" s="10" t="str">
        <f t="shared" si="98"/>
        <v/>
      </c>
      <c r="BM89" s="10" t="str">
        <f t="shared" si="98"/>
        <v/>
      </c>
      <c r="BN89" s="10" t="str">
        <f t="shared" si="98"/>
        <v/>
      </c>
      <c r="BO89" s="10" t="str">
        <f t="shared" si="98"/>
        <v/>
      </c>
      <c r="BP89" s="10" t="str">
        <f t="shared" si="98"/>
        <v/>
      </c>
      <c r="BQ89" s="10" t="str">
        <f t="shared" si="98"/>
        <v/>
      </c>
      <c r="BR89" s="10" t="str">
        <f t="shared" si="98"/>
        <v/>
      </c>
      <c r="BS89" s="10" t="str">
        <f t="shared" si="98"/>
        <v/>
      </c>
      <c r="BT89" s="10" t="str">
        <f t="shared" si="98"/>
        <v/>
      </c>
      <c r="BU89" s="10" t="str">
        <f t="shared" si="98"/>
        <v/>
      </c>
      <c r="BV89" s="10" t="str">
        <f t="shared" si="98"/>
        <v/>
      </c>
      <c r="BW89" s="10" t="str">
        <f t="shared" si="98"/>
        <v/>
      </c>
      <c r="BX89" s="10" t="str">
        <f t="shared" si="98"/>
        <v/>
      </c>
      <c r="BY89" s="10" t="str">
        <f t="shared" si="98"/>
        <v/>
      </c>
      <c r="BZ89" s="10" t="str">
        <f t="shared" si="98"/>
        <v/>
      </c>
      <c r="CA89" s="10" t="str">
        <f t="shared" si="98"/>
        <v/>
      </c>
      <c r="CB89" s="10" t="str">
        <f t="shared" si="98"/>
        <v/>
      </c>
      <c r="CC89" s="10" t="str">
        <f t="shared" si="98"/>
        <v/>
      </c>
      <c r="CD89" s="10" t="str">
        <f t="shared" si="98"/>
        <v/>
      </c>
      <c r="CE89" s="10" t="str">
        <f t="shared" si="98"/>
        <v/>
      </c>
      <c r="CF89" s="10" t="str">
        <f t="shared" si="98"/>
        <v/>
      </c>
      <c r="CG89" s="10" t="str">
        <f t="shared" si="98"/>
        <v/>
      </c>
      <c r="CH89" s="10" t="str">
        <f t="shared" si="98"/>
        <v/>
      </c>
      <c r="CI89" s="10" t="str">
        <f t="shared" si="98"/>
        <v/>
      </c>
      <c r="CJ89" s="10" t="str">
        <f t="shared" si="98"/>
        <v/>
      </c>
      <c r="CK89" s="10" t="str">
        <f t="shared" si="98"/>
        <v/>
      </c>
      <c r="CL89" s="10" t="str">
        <f t="shared" si="98"/>
        <v/>
      </c>
      <c r="CM89" s="10" t="str">
        <f t="shared" si="98"/>
        <v/>
      </c>
      <c r="CN89" s="10" t="str">
        <f t="shared" si="98"/>
        <v/>
      </c>
      <c r="CO89" s="10" t="str">
        <f t="shared" si="98"/>
        <v/>
      </c>
      <c r="CP89" s="10" t="str">
        <f t="shared" si="98"/>
        <v/>
      </c>
      <c r="CQ89" s="10" t="str">
        <f t="shared" si="98"/>
        <v/>
      </c>
      <c r="CR89" s="10" t="str">
        <f t="shared" si="98"/>
        <v/>
      </c>
      <c r="CS89" s="10" t="str">
        <f t="shared" si="98"/>
        <v/>
      </c>
      <c r="CT89" s="10" t="str">
        <f t="shared" si="98"/>
        <v/>
      </c>
      <c r="CU89" s="10" t="str">
        <f t="shared" si="98"/>
        <v/>
      </c>
      <c r="CV89" s="10" t="str">
        <f t="shared" si="98"/>
        <v/>
      </c>
      <c r="CW89" s="10" t="str">
        <f t="shared" si="98"/>
        <v/>
      </c>
      <c r="CX89" s="10" t="str">
        <f t="shared" si="98"/>
        <v/>
      </c>
      <c r="CY89" s="10" t="str">
        <f t="shared" si="98"/>
        <v/>
      </c>
      <c r="CZ89" s="10" t="str">
        <f t="shared" si="98"/>
        <v/>
      </c>
      <c r="DA89" s="10" t="str">
        <f t="shared" si="98"/>
        <v/>
      </c>
      <c r="DB89" s="10" t="str">
        <f t="shared" si="98"/>
        <v/>
      </c>
      <c r="DC89" s="10" t="str">
        <f t="shared" si="98"/>
        <v/>
      </c>
      <c r="DD89" s="10" t="str">
        <f t="shared" si="98"/>
        <v/>
      </c>
      <c r="DE89" s="10" t="str">
        <f t="shared" si="98"/>
        <v/>
      </c>
      <c r="DF89" s="10" t="str">
        <f t="shared" si="98"/>
        <v/>
      </c>
      <c r="DG89" s="10" t="str">
        <f t="shared" si="98"/>
        <v/>
      </c>
      <c r="DH89" s="10" t="str">
        <f t="shared" si="98"/>
        <v/>
      </c>
      <c r="DI89" s="10" t="str">
        <f t="shared" si="98"/>
        <v/>
      </c>
      <c r="DJ89" s="10" t="str">
        <f t="shared" si="98"/>
        <v/>
      </c>
    </row>
    <row r="90" spans="1:114" ht="13.5" customHeight="1">
      <c r="A90" s="1">
        <f>Gerenciamento!D90</f>
        <v>0</v>
      </c>
      <c r="B90" s="1" t="e">
        <f t="shared" si="2"/>
        <v>#VALUE!</v>
      </c>
      <c r="C90" s="2" t="e">
        <f t="shared" si="6"/>
        <v>#VALUE!</v>
      </c>
      <c r="D90" s="2" t="e">
        <f t="shared" si="7"/>
        <v>#VALUE!</v>
      </c>
      <c r="E90" s="2" t="e">
        <f t="shared" si="8"/>
        <v>#VALUE!</v>
      </c>
      <c r="F90" s="2" t="e">
        <f t="shared" si="9"/>
        <v>#VALUE!</v>
      </c>
      <c r="G90" s="5" t="e">
        <f t="shared" si="15"/>
        <v>#VALUE!</v>
      </c>
      <c r="H90" s="1" t="e">
        <f t="shared" si="10"/>
        <v>#VALUE!</v>
      </c>
      <c r="I90" s="1" t="e">
        <f t="shared" si="12"/>
        <v>#VALUE!</v>
      </c>
      <c r="J90" s="6" t="e">
        <f t="shared" si="3"/>
        <v>#VALUE!</v>
      </c>
      <c r="M90" s="9" t="b">
        <f t="shared" si="4"/>
        <v>0</v>
      </c>
      <c r="N90" s="10" t="e">
        <f t="shared" ref="N90:DJ90" si="99">IF(N$1&gt;$L$2,"",IF(N$1=$L$2,1,IF($L$2-N$1=$L$1-$M90,$L$3^($L$1-$M90),($L$3*N91*O91/(N91+($L$3-1)*O91)))))</f>
        <v>#DIV/0!</v>
      </c>
      <c r="O90" s="10" t="e">
        <f t="shared" si="99"/>
        <v>#DIV/0!</v>
      </c>
      <c r="P90" s="10">
        <f t="shared" si="99"/>
        <v>1</v>
      </c>
      <c r="Q90" s="10" t="str">
        <f t="shared" si="99"/>
        <v/>
      </c>
      <c r="R90" s="10" t="str">
        <f t="shared" si="99"/>
        <v/>
      </c>
      <c r="S90" s="10" t="str">
        <f t="shared" si="99"/>
        <v/>
      </c>
      <c r="T90" s="10" t="str">
        <f t="shared" si="99"/>
        <v/>
      </c>
      <c r="U90" s="10" t="str">
        <f t="shared" si="99"/>
        <v/>
      </c>
      <c r="V90" s="10" t="str">
        <f t="shared" si="99"/>
        <v/>
      </c>
      <c r="W90" s="10" t="str">
        <f t="shared" si="99"/>
        <v/>
      </c>
      <c r="X90" s="10" t="str">
        <f t="shared" si="99"/>
        <v/>
      </c>
      <c r="Y90" s="10" t="str">
        <f t="shared" si="99"/>
        <v/>
      </c>
      <c r="Z90" s="10" t="str">
        <f t="shared" si="99"/>
        <v/>
      </c>
      <c r="AA90" s="10" t="str">
        <f t="shared" si="99"/>
        <v/>
      </c>
      <c r="AB90" s="10" t="str">
        <f t="shared" si="99"/>
        <v/>
      </c>
      <c r="AC90" s="10" t="str">
        <f t="shared" si="99"/>
        <v/>
      </c>
      <c r="AD90" s="10" t="str">
        <f t="shared" si="99"/>
        <v/>
      </c>
      <c r="AE90" s="10" t="str">
        <f t="shared" si="99"/>
        <v/>
      </c>
      <c r="AF90" s="10" t="str">
        <f t="shared" si="99"/>
        <v/>
      </c>
      <c r="AG90" s="10" t="str">
        <f t="shared" si="99"/>
        <v/>
      </c>
      <c r="AH90" s="10" t="str">
        <f t="shared" si="99"/>
        <v/>
      </c>
      <c r="AI90" s="10" t="str">
        <f t="shared" si="99"/>
        <v/>
      </c>
      <c r="AJ90" s="10" t="str">
        <f t="shared" si="99"/>
        <v/>
      </c>
      <c r="AK90" s="10" t="str">
        <f t="shared" si="99"/>
        <v/>
      </c>
      <c r="AL90" s="10" t="str">
        <f t="shared" si="99"/>
        <v/>
      </c>
      <c r="AM90" s="10" t="str">
        <f t="shared" si="99"/>
        <v/>
      </c>
      <c r="AN90" s="10" t="str">
        <f t="shared" si="99"/>
        <v/>
      </c>
      <c r="AO90" s="10" t="str">
        <f t="shared" si="99"/>
        <v/>
      </c>
      <c r="AP90" s="10" t="str">
        <f t="shared" si="99"/>
        <v/>
      </c>
      <c r="AQ90" s="10" t="str">
        <f t="shared" si="99"/>
        <v/>
      </c>
      <c r="AR90" s="10" t="str">
        <f t="shared" si="99"/>
        <v/>
      </c>
      <c r="AS90" s="10" t="str">
        <f t="shared" si="99"/>
        <v/>
      </c>
      <c r="AT90" s="10" t="str">
        <f t="shared" si="99"/>
        <v/>
      </c>
      <c r="AU90" s="10" t="str">
        <f t="shared" si="99"/>
        <v/>
      </c>
      <c r="AV90" s="10" t="str">
        <f t="shared" si="99"/>
        <v/>
      </c>
      <c r="AW90" s="10" t="str">
        <f t="shared" si="99"/>
        <v/>
      </c>
      <c r="AX90" s="10" t="str">
        <f t="shared" si="99"/>
        <v/>
      </c>
      <c r="AY90" s="10" t="str">
        <f t="shared" si="99"/>
        <v/>
      </c>
      <c r="AZ90" s="10" t="str">
        <f t="shared" si="99"/>
        <v/>
      </c>
      <c r="BA90" s="10" t="str">
        <f t="shared" si="99"/>
        <v/>
      </c>
      <c r="BB90" s="10" t="str">
        <f t="shared" si="99"/>
        <v/>
      </c>
      <c r="BC90" s="10" t="str">
        <f t="shared" si="99"/>
        <v/>
      </c>
      <c r="BD90" s="10" t="str">
        <f t="shared" si="99"/>
        <v/>
      </c>
      <c r="BE90" s="10" t="str">
        <f t="shared" si="99"/>
        <v/>
      </c>
      <c r="BF90" s="10" t="str">
        <f t="shared" si="99"/>
        <v/>
      </c>
      <c r="BG90" s="10" t="str">
        <f t="shared" si="99"/>
        <v/>
      </c>
      <c r="BH90" s="10" t="str">
        <f t="shared" si="99"/>
        <v/>
      </c>
      <c r="BI90" s="10" t="str">
        <f t="shared" si="99"/>
        <v/>
      </c>
      <c r="BJ90" s="10" t="str">
        <f t="shared" si="99"/>
        <v/>
      </c>
      <c r="BK90" s="10" t="str">
        <f t="shared" si="99"/>
        <v/>
      </c>
      <c r="BL90" s="10" t="str">
        <f t="shared" si="99"/>
        <v/>
      </c>
      <c r="BM90" s="10" t="str">
        <f t="shared" si="99"/>
        <v/>
      </c>
      <c r="BN90" s="10" t="str">
        <f t="shared" si="99"/>
        <v/>
      </c>
      <c r="BO90" s="10" t="str">
        <f t="shared" si="99"/>
        <v/>
      </c>
      <c r="BP90" s="10" t="str">
        <f t="shared" si="99"/>
        <v/>
      </c>
      <c r="BQ90" s="10" t="str">
        <f t="shared" si="99"/>
        <v/>
      </c>
      <c r="BR90" s="10" t="str">
        <f t="shared" si="99"/>
        <v/>
      </c>
      <c r="BS90" s="10" t="str">
        <f t="shared" si="99"/>
        <v/>
      </c>
      <c r="BT90" s="10" t="str">
        <f t="shared" si="99"/>
        <v/>
      </c>
      <c r="BU90" s="10" t="str">
        <f t="shared" si="99"/>
        <v/>
      </c>
      <c r="BV90" s="10" t="str">
        <f t="shared" si="99"/>
        <v/>
      </c>
      <c r="BW90" s="10" t="str">
        <f t="shared" si="99"/>
        <v/>
      </c>
      <c r="BX90" s="10" t="str">
        <f t="shared" si="99"/>
        <v/>
      </c>
      <c r="BY90" s="10" t="str">
        <f t="shared" si="99"/>
        <v/>
      </c>
      <c r="BZ90" s="10" t="str">
        <f t="shared" si="99"/>
        <v/>
      </c>
      <c r="CA90" s="10" t="str">
        <f t="shared" si="99"/>
        <v/>
      </c>
      <c r="CB90" s="10" t="str">
        <f t="shared" si="99"/>
        <v/>
      </c>
      <c r="CC90" s="10" t="str">
        <f t="shared" si="99"/>
        <v/>
      </c>
      <c r="CD90" s="10" t="str">
        <f t="shared" si="99"/>
        <v/>
      </c>
      <c r="CE90" s="10" t="str">
        <f t="shared" si="99"/>
        <v/>
      </c>
      <c r="CF90" s="10" t="str">
        <f t="shared" si="99"/>
        <v/>
      </c>
      <c r="CG90" s="10" t="str">
        <f t="shared" si="99"/>
        <v/>
      </c>
      <c r="CH90" s="10" t="str">
        <f t="shared" si="99"/>
        <v/>
      </c>
      <c r="CI90" s="10" t="str">
        <f t="shared" si="99"/>
        <v/>
      </c>
      <c r="CJ90" s="10" t="str">
        <f t="shared" si="99"/>
        <v/>
      </c>
      <c r="CK90" s="10" t="str">
        <f t="shared" si="99"/>
        <v/>
      </c>
      <c r="CL90" s="10" t="str">
        <f t="shared" si="99"/>
        <v/>
      </c>
      <c r="CM90" s="10" t="str">
        <f t="shared" si="99"/>
        <v/>
      </c>
      <c r="CN90" s="10" t="str">
        <f t="shared" si="99"/>
        <v/>
      </c>
      <c r="CO90" s="10" t="str">
        <f t="shared" si="99"/>
        <v/>
      </c>
      <c r="CP90" s="10" t="str">
        <f t="shared" si="99"/>
        <v/>
      </c>
      <c r="CQ90" s="10" t="str">
        <f t="shared" si="99"/>
        <v/>
      </c>
      <c r="CR90" s="10" t="str">
        <f t="shared" si="99"/>
        <v/>
      </c>
      <c r="CS90" s="10" t="str">
        <f t="shared" si="99"/>
        <v/>
      </c>
      <c r="CT90" s="10" t="str">
        <f t="shared" si="99"/>
        <v/>
      </c>
      <c r="CU90" s="10" t="str">
        <f t="shared" si="99"/>
        <v/>
      </c>
      <c r="CV90" s="10" t="str">
        <f t="shared" si="99"/>
        <v/>
      </c>
      <c r="CW90" s="10" t="str">
        <f t="shared" si="99"/>
        <v/>
      </c>
      <c r="CX90" s="10" t="str">
        <f t="shared" si="99"/>
        <v/>
      </c>
      <c r="CY90" s="10" t="str">
        <f t="shared" si="99"/>
        <v/>
      </c>
      <c r="CZ90" s="10" t="str">
        <f t="shared" si="99"/>
        <v/>
      </c>
      <c r="DA90" s="10" t="str">
        <f t="shared" si="99"/>
        <v/>
      </c>
      <c r="DB90" s="10" t="str">
        <f t="shared" si="99"/>
        <v/>
      </c>
      <c r="DC90" s="10" t="str">
        <f t="shared" si="99"/>
        <v/>
      </c>
      <c r="DD90" s="10" t="str">
        <f t="shared" si="99"/>
        <v/>
      </c>
      <c r="DE90" s="10" t="str">
        <f t="shared" si="99"/>
        <v/>
      </c>
      <c r="DF90" s="10" t="str">
        <f t="shared" si="99"/>
        <v/>
      </c>
      <c r="DG90" s="10" t="str">
        <f t="shared" si="99"/>
        <v/>
      </c>
      <c r="DH90" s="10" t="str">
        <f t="shared" si="99"/>
        <v/>
      </c>
      <c r="DI90" s="10" t="str">
        <f t="shared" si="99"/>
        <v/>
      </c>
      <c r="DJ90" s="10" t="str">
        <f t="shared" si="99"/>
        <v/>
      </c>
    </row>
    <row r="91" spans="1:114" ht="13.5" customHeight="1">
      <c r="A91" s="1">
        <f>Gerenciamento!D91</f>
        <v>0</v>
      </c>
      <c r="B91" s="1" t="e">
        <f t="shared" si="2"/>
        <v>#VALUE!</v>
      </c>
      <c r="C91" s="2" t="e">
        <f t="shared" si="6"/>
        <v>#VALUE!</v>
      </c>
      <c r="D91" s="2" t="e">
        <f t="shared" si="7"/>
        <v>#VALUE!</v>
      </c>
      <c r="E91" s="2" t="e">
        <f t="shared" si="8"/>
        <v>#VALUE!</v>
      </c>
      <c r="F91" s="2" t="e">
        <f t="shared" si="9"/>
        <v>#VALUE!</v>
      </c>
      <c r="G91" s="5" t="e">
        <f t="shared" si="15"/>
        <v>#VALUE!</v>
      </c>
      <c r="H91" s="1" t="e">
        <f t="shared" si="10"/>
        <v>#VALUE!</v>
      </c>
      <c r="I91" s="1" t="e">
        <f t="shared" si="12"/>
        <v>#VALUE!</v>
      </c>
      <c r="J91" s="6" t="e">
        <f t="shared" si="3"/>
        <v>#VALUE!</v>
      </c>
      <c r="M91" s="9" t="b">
        <f t="shared" si="4"/>
        <v>0</v>
      </c>
      <c r="N91" s="10" t="e">
        <f t="shared" ref="N91:DJ91" si="100">IF(N$1&gt;$L$2,"",IF(N$1=$L$2,1,IF($L$2-N$1=$L$1-$M91,$L$3^($L$1-$M91),($L$3*N92*O92/(N92+($L$3-1)*O92)))))</f>
        <v>#DIV/0!</v>
      </c>
      <c r="O91" s="10" t="e">
        <f t="shared" si="100"/>
        <v>#DIV/0!</v>
      </c>
      <c r="P91" s="10">
        <f t="shared" si="100"/>
        <v>1</v>
      </c>
      <c r="Q91" s="10" t="str">
        <f t="shared" si="100"/>
        <v/>
      </c>
      <c r="R91" s="10" t="str">
        <f t="shared" si="100"/>
        <v/>
      </c>
      <c r="S91" s="10" t="str">
        <f t="shared" si="100"/>
        <v/>
      </c>
      <c r="T91" s="10" t="str">
        <f t="shared" si="100"/>
        <v/>
      </c>
      <c r="U91" s="10" t="str">
        <f t="shared" si="100"/>
        <v/>
      </c>
      <c r="V91" s="10" t="str">
        <f t="shared" si="100"/>
        <v/>
      </c>
      <c r="W91" s="10" t="str">
        <f t="shared" si="100"/>
        <v/>
      </c>
      <c r="X91" s="10" t="str">
        <f t="shared" si="100"/>
        <v/>
      </c>
      <c r="Y91" s="10" t="str">
        <f t="shared" si="100"/>
        <v/>
      </c>
      <c r="Z91" s="10" t="str">
        <f t="shared" si="100"/>
        <v/>
      </c>
      <c r="AA91" s="10" t="str">
        <f t="shared" si="100"/>
        <v/>
      </c>
      <c r="AB91" s="10" t="str">
        <f t="shared" si="100"/>
        <v/>
      </c>
      <c r="AC91" s="10" t="str">
        <f t="shared" si="100"/>
        <v/>
      </c>
      <c r="AD91" s="10" t="str">
        <f t="shared" si="100"/>
        <v/>
      </c>
      <c r="AE91" s="10" t="str">
        <f t="shared" si="100"/>
        <v/>
      </c>
      <c r="AF91" s="10" t="str">
        <f t="shared" si="100"/>
        <v/>
      </c>
      <c r="AG91" s="10" t="str">
        <f t="shared" si="100"/>
        <v/>
      </c>
      <c r="AH91" s="10" t="str">
        <f t="shared" si="100"/>
        <v/>
      </c>
      <c r="AI91" s="10" t="str">
        <f t="shared" si="100"/>
        <v/>
      </c>
      <c r="AJ91" s="10" t="str">
        <f t="shared" si="100"/>
        <v/>
      </c>
      <c r="AK91" s="10" t="str">
        <f t="shared" si="100"/>
        <v/>
      </c>
      <c r="AL91" s="10" t="str">
        <f t="shared" si="100"/>
        <v/>
      </c>
      <c r="AM91" s="10" t="str">
        <f t="shared" si="100"/>
        <v/>
      </c>
      <c r="AN91" s="10" t="str">
        <f t="shared" si="100"/>
        <v/>
      </c>
      <c r="AO91" s="10" t="str">
        <f t="shared" si="100"/>
        <v/>
      </c>
      <c r="AP91" s="10" t="str">
        <f t="shared" si="100"/>
        <v/>
      </c>
      <c r="AQ91" s="10" t="str">
        <f t="shared" si="100"/>
        <v/>
      </c>
      <c r="AR91" s="10" t="str">
        <f t="shared" si="100"/>
        <v/>
      </c>
      <c r="AS91" s="10" t="str">
        <f t="shared" si="100"/>
        <v/>
      </c>
      <c r="AT91" s="10" t="str">
        <f t="shared" si="100"/>
        <v/>
      </c>
      <c r="AU91" s="10" t="str">
        <f t="shared" si="100"/>
        <v/>
      </c>
      <c r="AV91" s="10" t="str">
        <f t="shared" si="100"/>
        <v/>
      </c>
      <c r="AW91" s="10" t="str">
        <f t="shared" si="100"/>
        <v/>
      </c>
      <c r="AX91" s="10" t="str">
        <f t="shared" si="100"/>
        <v/>
      </c>
      <c r="AY91" s="10" t="str">
        <f t="shared" si="100"/>
        <v/>
      </c>
      <c r="AZ91" s="10" t="str">
        <f t="shared" si="100"/>
        <v/>
      </c>
      <c r="BA91" s="10" t="str">
        <f t="shared" si="100"/>
        <v/>
      </c>
      <c r="BB91" s="10" t="str">
        <f t="shared" si="100"/>
        <v/>
      </c>
      <c r="BC91" s="10" t="str">
        <f t="shared" si="100"/>
        <v/>
      </c>
      <c r="BD91" s="10" t="str">
        <f t="shared" si="100"/>
        <v/>
      </c>
      <c r="BE91" s="10" t="str">
        <f t="shared" si="100"/>
        <v/>
      </c>
      <c r="BF91" s="10" t="str">
        <f t="shared" si="100"/>
        <v/>
      </c>
      <c r="BG91" s="10" t="str">
        <f t="shared" si="100"/>
        <v/>
      </c>
      <c r="BH91" s="10" t="str">
        <f t="shared" si="100"/>
        <v/>
      </c>
      <c r="BI91" s="10" t="str">
        <f t="shared" si="100"/>
        <v/>
      </c>
      <c r="BJ91" s="10" t="str">
        <f t="shared" si="100"/>
        <v/>
      </c>
      <c r="BK91" s="10" t="str">
        <f t="shared" si="100"/>
        <v/>
      </c>
      <c r="BL91" s="10" t="str">
        <f t="shared" si="100"/>
        <v/>
      </c>
      <c r="BM91" s="10" t="str">
        <f t="shared" si="100"/>
        <v/>
      </c>
      <c r="BN91" s="10" t="str">
        <f t="shared" si="100"/>
        <v/>
      </c>
      <c r="BO91" s="10" t="str">
        <f t="shared" si="100"/>
        <v/>
      </c>
      <c r="BP91" s="10" t="str">
        <f t="shared" si="100"/>
        <v/>
      </c>
      <c r="BQ91" s="10" t="str">
        <f t="shared" si="100"/>
        <v/>
      </c>
      <c r="BR91" s="10" t="str">
        <f t="shared" si="100"/>
        <v/>
      </c>
      <c r="BS91" s="10" t="str">
        <f t="shared" si="100"/>
        <v/>
      </c>
      <c r="BT91" s="10" t="str">
        <f t="shared" si="100"/>
        <v/>
      </c>
      <c r="BU91" s="10" t="str">
        <f t="shared" si="100"/>
        <v/>
      </c>
      <c r="BV91" s="10" t="str">
        <f t="shared" si="100"/>
        <v/>
      </c>
      <c r="BW91" s="10" t="str">
        <f t="shared" si="100"/>
        <v/>
      </c>
      <c r="BX91" s="10" t="str">
        <f t="shared" si="100"/>
        <v/>
      </c>
      <c r="BY91" s="10" t="str">
        <f t="shared" si="100"/>
        <v/>
      </c>
      <c r="BZ91" s="10" t="str">
        <f t="shared" si="100"/>
        <v/>
      </c>
      <c r="CA91" s="10" t="str">
        <f t="shared" si="100"/>
        <v/>
      </c>
      <c r="CB91" s="10" t="str">
        <f t="shared" si="100"/>
        <v/>
      </c>
      <c r="CC91" s="10" t="str">
        <f t="shared" si="100"/>
        <v/>
      </c>
      <c r="CD91" s="10" t="str">
        <f t="shared" si="100"/>
        <v/>
      </c>
      <c r="CE91" s="10" t="str">
        <f t="shared" si="100"/>
        <v/>
      </c>
      <c r="CF91" s="10" t="str">
        <f t="shared" si="100"/>
        <v/>
      </c>
      <c r="CG91" s="10" t="str">
        <f t="shared" si="100"/>
        <v/>
      </c>
      <c r="CH91" s="10" t="str">
        <f t="shared" si="100"/>
        <v/>
      </c>
      <c r="CI91" s="10" t="str">
        <f t="shared" si="100"/>
        <v/>
      </c>
      <c r="CJ91" s="10" t="str">
        <f t="shared" si="100"/>
        <v/>
      </c>
      <c r="CK91" s="10" t="str">
        <f t="shared" si="100"/>
        <v/>
      </c>
      <c r="CL91" s="10" t="str">
        <f t="shared" si="100"/>
        <v/>
      </c>
      <c r="CM91" s="10" t="str">
        <f t="shared" si="100"/>
        <v/>
      </c>
      <c r="CN91" s="10" t="str">
        <f t="shared" si="100"/>
        <v/>
      </c>
      <c r="CO91" s="10" t="str">
        <f t="shared" si="100"/>
        <v/>
      </c>
      <c r="CP91" s="10" t="str">
        <f t="shared" si="100"/>
        <v/>
      </c>
      <c r="CQ91" s="10" t="str">
        <f t="shared" si="100"/>
        <v/>
      </c>
      <c r="CR91" s="10" t="str">
        <f t="shared" si="100"/>
        <v/>
      </c>
      <c r="CS91" s="10" t="str">
        <f t="shared" si="100"/>
        <v/>
      </c>
      <c r="CT91" s="10" t="str">
        <f t="shared" si="100"/>
        <v/>
      </c>
      <c r="CU91" s="10" t="str">
        <f t="shared" si="100"/>
        <v/>
      </c>
      <c r="CV91" s="10" t="str">
        <f t="shared" si="100"/>
        <v/>
      </c>
      <c r="CW91" s="10" t="str">
        <f t="shared" si="100"/>
        <v/>
      </c>
      <c r="CX91" s="10" t="str">
        <f t="shared" si="100"/>
        <v/>
      </c>
      <c r="CY91" s="10" t="str">
        <f t="shared" si="100"/>
        <v/>
      </c>
      <c r="CZ91" s="10" t="str">
        <f t="shared" si="100"/>
        <v/>
      </c>
      <c r="DA91" s="10" t="str">
        <f t="shared" si="100"/>
        <v/>
      </c>
      <c r="DB91" s="10" t="str">
        <f t="shared" si="100"/>
        <v/>
      </c>
      <c r="DC91" s="10" t="str">
        <f t="shared" si="100"/>
        <v/>
      </c>
      <c r="DD91" s="10" t="str">
        <f t="shared" si="100"/>
        <v/>
      </c>
      <c r="DE91" s="10" t="str">
        <f t="shared" si="100"/>
        <v/>
      </c>
      <c r="DF91" s="10" t="str">
        <f t="shared" si="100"/>
        <v/>
      </c>
      <c r="DG91" s="10" t="str">
        <f t="shared" si="100"/>
        <v/>
      </c>
      <c r="DH91" s="10" t="str">
        <f t="shared" si="100"/>
        <v/>
      </c>
      <c r="DI91" s="10" t="str">
        <f t="shared" si="100"/>
        <v/>
      </c>
      <c r="DJ91" s="10" t="str">
        <f t="shared" si="100"/>
        <v/>
      </c>
    </row>
    <row r="92" spans="1:114" ht="13.5" customHeight="1">
      <c r="A92" s="1">
        <f>Gerenciamento!D92</f>
        <v>0</v>
      </c>
      <c r="B92" s="1" t="e">
        <f t="shared" si="2"/>
        <v>#VALUE!</v>
      </c>
      <c r="C92" s="2" t="e">
        <f t="shared" si="6"/>
        <v>#VALUE!</v>
      </c>
      <c r="D92" s="2" t="e">
        <f t="shared" si="7"/>
        <v>#VALUE!</v>
      </c>
      <c r="E92" s="2" t="e">
        <f t="shared" si="8"/>
        <v>#VALUE!</v>
      </c>
      <c r="F92" s="2" t="e">
        <f t="shared" si="9"/>
        <v>#VALUE!</v>
      </c>
      <c r="G92" s="5" t="e">
        <f t="shared" si="15"/>
        <v>#VALUE!</v>
      </c>
      <c r="H92" s="1" t="e">
        <f t="shared" si="10"/>
        <v>#VALUE!</v>
      </c>
      <c r="I92" s="1" t="e">
        <f t="shared" si="12"/>
        <v>#VALUE!</v>
      </c>
      <c r="J92" s="6" t="e">
        <f t="shared" si="3"/>
        <v>#VALUE!</v>
      </c>
      <c r="M92" s="9" t="b">
        <f t="shared" si="4"/>
        <v>0</v>
      </c>
      <c r="N92" s="10" t="e">
        <f t="shared" ref="N92:DJ92" si="101">IF(N$1&gt;$L$2,"",IF(N$1=$L$2,1,IF($L$2-N$1=$L$1-$M92,$L$3^($L$1-$M92),($L$3*N93*O93/(N93+($L$3-1)*O93)))))</f>
        <v>#DIV/0!</v>
      </c>
      <c r="O92" s="10" t="e">
        <f t="shared" si="101"/>
        <v>#DIV/0!</v>
      </c>
      <c r="P92" s="10">
        <f t="shared" si="101"/>
        <v>1</v>
      </c>
      <c r="Q92" s="10" t="str">
        <f t="shared" si="101"/>
        <v/>
      </c>
      <c r="R92" s="10" t="str">
        <f t="shared" si="101"/>
        <v/>
      </c>
      <c r="S92" s="10" t="str">
        <f t="shared" si="101"/>
        <v/>
      </c>
      <c r="T92" s="10" t="str">
        <f t="shared" si="101"/>
        <v/>
      </c>
      <c r="U92" s="10" t="str">
        <f t="shared" si="101"/>
        <v/>
      </c>
      <c r="V92" s="10" t="str">
        <f t="shared" si="101"/>
        <v/>
      </c>
      <c r="W92" s="10" t="str">
        <f t="shared" si="101"/>
        <v/>
      </c>
      <c r="X92" s="10" t="str">
        <f t="shared" si="101"/>
        <v/>
      </c>
      <c r="Y92" s="10" t="str">
        <f t="shared" si="101"/>
        <v/>
      </c>
      <c r="Z92" s="10" t="str">
        <f t="shared" si="101"/>
        <v/>
      </c>
      <c r="AA92" s="10" t="str">
        <f t="shared" si="101"/>
        <v/>
      </c>
      <c r="AB92" s="10" t="str">
        <f t="shared" si="101"/>
        <v/>
      </c>
      <c r="AC92" s="10" t="str">
        <f t="shared" si="101"/>
        <v/>
      </c>
      <c r="AD92" s="10" t="str">
        <f t="shared" si="101"/>
        <v/>
      </c>
      <c r="AE92" s="10" t="str">
        <f t="shared" si="101"/>
        <v/>
      </c>
      <c r="AF92" s="10" t="str">
        <f t="shared" si="101"/>
        <v/>
      </c>
      <c r="AG92" s="10" t="str">
        <f t="shared" si="101"/>
        <v/>
      </c>
      <c r="AH92" s="10" t="str">
        <f t="shared" si="101"/>
        <v/>
      </c>
      <c r="AI92" s="10" t="str">
        <f t="shared" si="101"/>
        <v/>
      </c>
      <c r="AJ92" s="10" t="str">
        <f t="shared" si="101"/>
        <v/>
      </c>
      <c r="AK92" s="10" t="str">
        <f t="shared" si="101"/>
        <v/>
      </c>
      <c r="AL92" s="10" t="str">
        <f t="shared" si="101"/>
        <v/>
      </c>
      <c r="AM92" s="10" t="str">
        <f t="shared" si="101"/>
        <v/>
      </c>
      <c r="AN92" s="10" t="str">
        <f t="shared" si="101"/>
        <v/>
      </c>
      <c r="AO92" s="10" t="str">
        <f t="shared" si="101"/>
        <v/>
      </c>
      <c r="AP92" s="10" t="str">
        <f t="shared" si="101"/>
        <v/>
      </c>
      <c r="AQ92" s="10" t="str">
        <f t="shared" si="101"/>
        <v/>
      </c>
      <c r="AR92" s="10" t="str">
        <f t="shared" si="101"/>
        <v/>
      </c>
      <c r="AS92" s="10" t="str">
        <f t="shared" si="101"/>
        <v/>
      </c>
      <c r="AT92" s="10" t="str">
        <f t="shared" si="101"/>
        <v/>
      </c>
      <c r="AU92" s="10" t="str">
        <f t="shared" si="101"/>
        <v/>
      </c>
      <c r="AV92" s="10" t="str">
        <f t="shared" si="101"/>
        <v/>
      </c>
      <c r="AW92" s="10" t="str">
        <f t="shared" si="101"/>
        <v/>
      </c>
      <c r="AX92" s="10" t="str">
        <f t="shared" si="101"/>
        <v/>
      </c>
      <c r="AY92" s="10" t="str">
        <f t="shared" si="101"/>
        <v/>
      </c>
      <c r="AZ92" s="10" t="str">
        <f t="shared" si="101"/>
        <v/>
      </c>
      <c r="BA92" s="10" t="str">
        <f t="shared" si="101"/>
        <v/>
      </c>
      <c r="BB92" s="10" t="str">
        <f t="shared" si="101"/>
        <v/>
      </c>
      <c r="BC92" s="10" t="str">
        <f t="shared" si="101"/>
        <v/>
      </c>
      <c r="BD92" s="10" t="str">
        <f t="shared" si="101"/>
        <v/>
      </c>
      <c r="BE92" s="10" t="str">
        <f t="shared" si="101"/>
        <v/>
      </c>
      <c r="BF92" s="10" t="str">
        <f t="shared" si="101"/>
        <v/>
      </c>
      <c r="BG92" s="10" t="str">
        <f t="shared" si="101"/>
        <v/>
      </c>
      <c r="BH92" s="10" t="str">
        <f t="shared" si="101"/>
        <v/>
      </c>
      <c r="BI92" s="10" t="str">
        <f t="shared" si="101"/>
        <v/>
      </c>
      <c r="BJ92" s="10" t="str">
        <f t="shared" si="101"/>
        <v/>
      </c>
      <c r="BK92" s="10" t="str">
        <f t="shared" si="101"/>
        <v/>
      </c>
      <c r="BL92" s="10" t="str">
        <f t="shared" si="101"/>
        <v/>
      </c>
      <c r="BM92" s="10" t="str">
        <f t="shared" si="101"/>
        <v/>
      </c>
      <c r="BN92" s="10" t="str">
        <f t="shared" si="101"/>
        <v/>
      </c>
      <c r="BO92" s="10" t="str">
        <f t="shared" si="101"/>
        <v/>
      </c>
      <c r="BP92" s="10" t="str">
        <f t="shared" si="101"/>
        <v/>
      </c>
      <c r="BQ92" s="10" t="str">
        <f t="shared" si="101"/>
        <v/>
      </c>
      <c r="BR92" s="10" t="str">
        <f t="shared" si="101"/>
        <v/>
      </c>
      <c r="BS92" s="10" t="str">
        <f t="shared" si="101"/>
        <v/>
      </c>
      <c r="BT92" s="10" t="str">
        <f t="shared" si="101"/>
        <v/>
      </c>
      <c r="BU92" s="10" t="str">
        <f t="shared" si="101"/>
        <v/>
      </c>
      <c r="BV92" s="10" t="str">
        <f t="shared" si="101"/>
        <v/>
      </c>
      <c r="BW92" s="10" t="str">
        <f t="shared" si="101"/>
        <v/>
      </c>
      <c r="BX92" s="10" t="str">
        <f t="shared" si="101"/>
        <v/>
      </c>
      <c r="BY92" s="10" t="str">
        <f t="shared" si="101"/>
        <v/>
      </c>
      <c r="BZ92" s="10" t="str">
        <f t="shared" si="101"/>
        <v/>
      </c>
      <c r="CA92" s="10" t="str">
        <f t="shared" si="101"/>
        <v/>
      </c>
      <c r="CB92" s="10" t="str">
        <f t="shared" si="101"/>
        <v/>
      </c>
      <c r="CC92" s="10" t="str">
        <f t="shared" si="101"/>
        <v/>
      </c>
      <c r="CD92" s="10" t="str">
        <f t="shared" si="101"/>
        <v/>
      </c>
      <c r="CE92" s="10" t="str">
        <f t="shared" si="101"/>
        <v/>
      </c>
      <c r="CF92" s="10" t="str">
        <f t="shared" si="101"/>
        <v/>
      </c>
      <c r="CG92" s="10" t="str">
        <f t="shared" si="101"/>
        <v/>
      </c>
      <c r="CH92" s="10" t="str">
        <f t="shared" si="101"/>
        <v/>
      </c>
      <c r="CI92" s="10" t="str">
        <f t="shared" si="101"/>
        <v/>
      </c>
      <c r="CJ92" s="10" t="str">
        <f t="shared" si="101"/>
        <v/>
      </c>
      <c r="CK92" s="10" t="str">
        <f t="shared" si="101"/>
        <v/>
      </c>
      <c r="CL92" s="10" t="str">
        <f t="shared" si="101"/>
        <v/>
      </c>
      <c r="CM92" s="10" t="str">
        <f t="shared" si="101"/>
        <v/>
      </c>
      <c r="CN92" s="10" t="str">
        <f t="shared" si="101"/>
        <v/>
      </c>
      <c r="CO92" s="10" t="str">
        <f t="shared" si="101"/>
        <v/>
      </c>
      <c r="CP92" s="10" t="str">
        <f t="shared" si="101"/>
        <v/>
      </c>
      <c r="CQ92" s="10" t="str">
        <f t="shared" si="101"/>
        <v/>
      </c>
      <c r="CR92" s="10" t="str">
        <f t="shared" si="101"/>
        <v/>
      </c>
      <c r="CS92" s="10" t="str">
        <f t="shared" si="101"/>
        <v/>
      </c>
      <c r="CT92" s="10" t="str">
        <f t="shared" si="101"/>
        <v/>
      </c>
      <c r="CU92" s="10" t="str">
        <f t="shared" si="101"/>
        <v/>
      </c>
      <c r="CV92" s="10" t="str">
        <f t="shared" si="101"/>
        <v/>
      </c>
      <c r="CW92" s="10" t="str">
        <f t="shared" si="101"/>
        <v/>
      </c>
      <c r="CX92" s="10" t="str">
        <f t="shared" si="101"/>
        <v/>
      </c>
      <c r="CY92" s="10" t="str">
        <f t="shared" si="101"/>
        <v/>
      </c>
      <c r="CZ92" s="10" t="str">
        <f t="shared" si="101"/>
        <v/>
      </c>
      <c r="DA92" s="10" t="str">
        <f t="shared" si="101"/>
        <v/>
      </c>
      <c r="DB92" s="10" t="str">
        <f t="shared" si="101"/>
        <v/>
      </c>
      <c r="DC92" s="10" t="str">
        <f t="shared" si="101"/>
        <v/>
      </c>
      <c r="DD92" s="10" t="str">
        <f t="shared" si="101"/>
        <v/>
      </c>
      <c r="DE92" s="10" t="str">
        <f t="shared" si="101"/>
        <v/>
      </c>
      <c r="DF92" s="10" t="str">
        <f t="shared" si="101"/>
        <v/>
      </c>
      <c r="DG92" s="10" t="str">
        <f t="shared" si="101"/>
        <v/>
      </c>
      <c r="DH92" s="10" t="str">
        <f t="shared" si="101"/>
        <v/>
      </c>
      <c r="DI92" s="10" t="str">
        <f t="shared" si="101"/>
        <v/>
      </c>
      <c r="DJ92" s="10" t="str">
        <f t="shared" si="101"/>
        <v/>
      </c>
    </row>
    <row r="93" spans="1:114" ht="13.5" customHeight="1">
      <c r="A93" s="1">
        <f>Gerenciamento!D93</f>
        <v>0</v>
      </c>
      <c r="B93" s="1" t="e">
        <f t="shared" si="2"/>
        <v>#VALUE!</v>
      </c>
      <c r="C93" s="2" t="e">
        <f t="shared" si="6"/>
        <v>#VALUE!</v>
      </c>
      <c r="D93" s="2" t="e">
        <f t="shared" si="7"/>
        <v>#VALUE!</v>
      </c>
      <c r="E93" s="2" t="e">
        <f t="shared" si="8"/>
        <v>#VALUE!</v>
      </c>
      <c r="F93" s="2" t="e">
        <f t="shared" si="9"/>
        <v>#VALUE!</v>
      </c>
      <c r="G93" s="5" t="e">
        <f t="shared" si="15"/>
        <v>#VALUE!</v>
      </c>
      <c r="H93" s="1" t="e">
        <f t="shared" si="10"/>
        <v>#VALUE!</v>
      </c>
      <c r="I93" s="1" t="e">
        <f t="shared" si="12"/>
        <v>#VALUE!</v>
      </c>
      <c r="J93" s="6" t="e">
        <f t="shared" si="3"/>
        <v>#VALUE!</v>
      </c>
      <c r="M93" s="9" t="b">
        <f t="shared" si="4"/>
        <v>0</v>
      </c>
      <c r="N93" s="10" t="e">
        <f t="shared" ref="N93:DJ93" si="102">IF(N$1&gt;$L$2,"",IF(N$1=$L$2,1,IF($L$2-N$1=$L$1-$M93,$L$3^($L$1-$M93),($L$3*N94*O94/(N94+($L$3-1)*O94)))))</f>
        <v>#DIV/0!</v>
      </c>
      <c r="O93" s="10" t="e">
        <f t="shared" si="102"/>
        <v>#DIV/0!</v>
      </c>
      <c r="P93" s="10">
        <f t="shared" si="102"/>
        <v>1</v>
      </c>
      <c r="Q93" s="10" t="str">
        <f t="shared" si="102"/>
        <v/>
      </c>
      <c r="R93" s="10" t="str">
        <f t="shared" si="102"/>
        <v/>
      </c>
      <c r="S93" s="10" t="str">
        <f t="shared" si="102"/>
        <v/>
      </c>
      <c r="T93" s="10" t="str">
        <f t="shared" si="102"/>
        <v/>
      </c>
      <c r="U93" s="10" t="str">
        <f t="shared" si="102"/>
        <v/>
      </c>
      <c r="V93" s="10" t="str">
        <f t="shared" si="102"/>
        <v/>
      </c>
      <c r="W93" s="10" t="str">
        <f t="shared" si="102"/>
        <v/>
      </c>
      <c r="X93" s="10" t="str">
        <f t="shared" si="102"/>
        <v/>
      </c>
      <c r="Y93" s="10" t="str">
        <f t="shared" si="102"/>
        <v/>
      </c>
      <c r="Z93" s="10" t="str">
        <f t="shared" si="102"/>
        <v/>
      </c>
      <c r="AA93" s="10" t="str">
        <f t="shared" si="102"/>
        <v/>
      </c>
      <c r="AB93" s="10" t="str">
        <f t="shared" si="102"/>
        <v/>
      </c>
      <c r="AC93" s="10" t="str">
        <f t="shared" si="102"/>
        <v/>
      </c>
      <c r="AD93" s="10" t="str">
        <f t="shared" si="102"/>
        <v/>
      </c>
      <c r="AE93" s="10" t="str">
        <f t="shared" si="102"/>
        <v/>
      </c>
      <c r="AF93" s="10" t="str">
        <f t="shared" si="102"/>
        <v/>
      </c>
      <c r="AG93" s="10" t="str">
        <f t="shared" si="102"/>
        <v/>
      </c>
      <c r="AH93" s="10" t="str">
        <f t="shared" si="102"/>
        <v/>
      </c>
      <c r="AI93" s="10" t="str">
        <f t="shared" si="102"/>
        <v/>
      </c>
      <c r="AJ93" s="10" t="str">
        <f t="shared" si="102"/>
        <v/>
      </c>
      <c r="AK93" s="10" t="str">
        <f t="shared" si="102"/>
        <v/>
      </c>
      <c r="AL93" s="10" t="str">
        <f t="shared" si="102"/>
        <v/>
      </c>
      <c r="AM93" s="10" t="str">
        <f t="shared" si="102"/>
        <v/>
      </c>
      <c r="AN93" s="10" t="str">
        <f t="shared" si="102"/>
        <v/>
      </c>
      <c r="AO93" s="10" t="str">
        <f t="shared" si="102"/>
        <v/>
      </c>
      <c r="AP93" s="10" t="str">
        <f t="shared" si="102"/>
        <v/>
      </c>
      <c r="AQ93" s="10" t="str">
        <f t="shared" si="102"/>
        <v/>
      </c>
      <c r="AR93" s="10" t="str">
        <f t="shared" si="102"/>
        <v/>
      </c>
      <c r="AS93" s="10" t="str">
        <f t="shared" si="102"/>
        <v/>
      </c>
      <c r="AT93" s="10" t="str">
        <f t="shared" si="102"/>
        <v/>
      </c>
      <c r="AU93" s="10" t="str">
        <f t="shared" si="102"/>
        <v/>
      </c>
      <c r="AV93" s="10" t="str">
        <f t="shared" si="102"/>
        <v/>
      </c>
      <c r="AW93" s="10" t="str">
        <f t="shared" si="102"/>
        <v/>
      </c>
      <c r="AX93" s="10" t="str">
        <f t="shared" si="102"/>
        <v/>
      </c>
      <c r="AY93" s="10" t="str">
        <f t="shared" si="102"/>
        <v/>
      </c>
      <c r="AZ93" s="10" t="str">
        <f t="shared" si="102"/>
        <v/>
      </c>
      <c r="BA93" s="10" t="str">
        <f t="shared" si="102"/>
        <v/>
      </c>
      <c r="BB93" s="10" t="str">
        <f t="shared" si="102"/>
        <v/>
      </c>
      <c r="BC93" s="10" t="str">
        <f t="shared" si="102"/>
        <v/>
      </c>
      <c r="BD93" s="10" t="str">
        <f t="shared" si="102"/>
        <v/>
      </c>
      <c r="BE93" s="10" t="str">
        <f t="shared" si="102"/>
        <v/>
      </c>
      <c r="BF93" s="10" t="str">
        <f t="shared" si="102"/>
        <v/>
      </c>
      <c r="BG93" s="10" t="str">
        <f t="shared" si="102"/>
        <v/>
      </c>
      <c r="BH93" s="10" t="str">
        <f t="shared" si="102"/>
        <v/>
      </c>
      <c r="BI93" s="10" t="str">
        <f t="shared" si="102"/>
        <v/>
      </c>
      <c r="BJ93" s="10" t="str">
        <f t="shared" si="102"/>
        <v/>
      </c>
      <c r="BK93" s="10" t="str">
        <f t="shared" si="102"/>
        <v/>
      </c>
      <c r="BL93" s="10" t="str">
        <f t="shared" si="102"/>
        <v/>
      </c>
      <c r="BM93" s="10" t="str">
        <f t="shared" si="102"/>
        <v/>
      </c>
      <c r="BN93" s="10" t="str">
        <f t="shared" si="102"/>
        <v/>
      </c>
      <c r="BO93" s="10" t="str">
        <f t="shared" si="102"/>
        <v/>
      </c>
      <c r="BP93" s="10" t="str">
        <f t="shared" si="102"/>
        <v/>
      </c>
      <c r="BQ93" s="10" t="str">
        <f t="shared" si="102"/>
        <v/>
      </c>
      <c r="BR93" s="10" t="str">
        <f t="shared" si="102"/>
        <v/>
      </c>
      <c r="BS93" s="10" t="str">
        <f t="shared" si="102"/>
        <v/>
      </c>
      <c r="BT93" s="10" t="str">
        <f t="shared" si="102"/>
        <v/>
      </c>
      <c r="BU93" s="10" t="str">
        <f t="shared" si="102"/>
        <v/>
      </c>
      <c r="BV93" s="10" t="str">
        <f t="shared" si="102"/>
        <v/>
      </c>
      <c r="BW93" s="10" t="str">
        <f t="shared" si="102"/>
        <v/>
      </c>
      <c r="BX93" s="10" t="str">
        <f t="shared" si="102"/>
        <v/>
      </c>
      <c r="BY93" s="10" t="str">
        <f t="shared" si="102"/>
        <v/>
      </c>
      <c r="BZ93" s="10" t="str">
        <f t="shared" si="102"/>
        <v/>
      </c>
      <c r="CA93" s="10" t="str">
        <f t="shared" si="102"/>
        <v/>
      </c>
      <c r="CB93" s="10" t="str">
        <f t="shared" si="102"/>
        <v/>
      </c>
      <c r="CC93" s="10" t="str">
        <f t="shared" si="102"/>
        <v/>
      </c>
      <c r="CD93" s="10" t="str">
        <f t="shared" si="102"/>
        <v/>
      </c>
      <c r="CE93" s="10" t="str">
        <f t="shared" si="102"/>
        <v/>
      </c>
      <c r="CF93" s="10" t="str">
        <f t="shared" si="102"/>
        <v/>
      </c>
      <c r="CG93" s="10" t="str">
        <f t="shared" si="102"/>
        <v/>
      </c>
      <c r="CH93" s="10" t="str">
        <f t="shared" si="102"/>
        <v/>
      </c>
      <c r="CI93" s="10" t="str">
        <f t="shared" si="102"/>
        <v/>
      </c>
      <c r="CJ93" s="10" t="str">
        <f t="shared" si="102"/>
        <v/>
      </c>
      <c r="CK93" s="10" t="str">
        <f t="shared" si="102"/>
        <v/>
      </c>
      <c r="CL93" s="10" t="str">
        <f t="shared" si="102"/>
        <v/>
      </c>
      <c r="CM93" s="10" t="str">
        <f t="shared" si="102"/>
        <v/>
      </c>
      <c r="CN93" s="10" t="str">
        <f t="shared" si="102"/>
        <v/>
      </c>
      <c r="CO93" s="10" t="str">
        <f t="shared" si="102"/>
        <v/>
      </c>
      <c r="CP93" s="10" t="str">
        <f t="shared" si="102"/>
        <v/>
      </c>
      <c r="CQ93" s="10" t="str">
        <f t="shared" si="102"/>
        <v/>
      </c>
      <c r="CR93" s="10" t="str">
        <f t="shared" si="102"/>
        <v/>
      </c>
      <c r="CS93" s="10" t="str">
        <f t="shared" si="102"/>
        <v/>
      </c>
      <c r="CT93" s="10" t="str">
        <f t="shared" si="102"/>
        <v/>
      </c>
      <c r="CU93" s="10" t="str">
        <f t="shared" si="102"/>
        <v/>
      </c>
      <c r="CV93" s="10" t="str">
        <f t="shared" si="102"/>
        <v/>
      </c>
      <c r="CW93" s="10" t="str">
        <f t="shared" si="102"/>
        <v/>
      </c>
      <c r="CX93" s="10" t="str">
        <f t="shared" si="102"/>
        <v/>
      </c>
      <c r="CY93" s="10" t="str">
        <f t="shared" si="102"/>
        <v/>
      </c>
      <c r="CZ93" s="10" t="str">
        <f t="shared" si="102"/>
        <v/>
      </c>
      <c r="DA93" s="10" t="str">
        <f t="shared" si="102"/>
        <v/>
      </c>
      <c r="DB93" s="10" t="str">
        <f t="shared" si="102"/>
        <v/>
      </c>
      <c r="DC93" s="10" t="str">
        <f t="shared" si="102"/>
        <v/>
      </c>
      <c r="DD93" s="10" t="str">
        <f t="shared" si="102"/>
        <v/>
      </c>
      <c r="DE93" s="10" t="str">
        <f t="shared" si="102"/>
        <v/>
      </c>
      <c r="DF93" s="10" t="str">
        <f t="shared" si="102"/>
        <v/>
      </c>
      <c r="DG93" s="10" t="str">
        <f t="shared" si="102"/>
        <v/>
      </c>
      <c r="DH93" s="10" t="str">
        <f t="shared" si="102"/>
        <v/>
      </c>
      <c r="DI93" s="10" t="str">
        <f t="shared" si="102"/>
        <v/>
      </c>
      <c r="DJ93" s="10" t="str">
        <f t="shared" si="102"/>
        <v/>
      </c>
    </row>
    <row r="94" spans="1:114" ht="13.5" customHeight="1">
      <c r="A94" s="1">
        <f>Gerenciamento!D94</f>
        <v>0</v>
      </c>
      <c r="B94" s="1" t="e">
        <f t="shared" si="2"/>
        <v>#VALUE!</v>
      </c>
      <c r="C94" s="2" t="e">
        <f t="shared" si="6"/>
        <v>#VALUE!</v>
      </c>
      <c r="D94" s="2" t="e">
        <f t="shared" si="7"/>
        <v>#VALUE!</v>
      </c>
      <c r="E94" s="2" t="e">
        <f t="shared" si="8"/>
        <v>#VALUE!</v>
      </c>
      <c r="F94" s="2" t="e">
        <f t="shared" si="9"/>
        <v>#VALUE!</v>
      </c>
      <c r="G94" s="5" t="e">
        <f t="shared" si="15"/>
        <v>#VALUE!</v>
      </c>
      <c r="H94" s="1" t="e">
        <f t="shared" si="10"/>
        <v>#VALUE!</v>
      </c>
      <c r="I94" s="1" t="e">
        <f t="shared" si="12"/>
        <v>#VALUE!</v>
      </c>
      <c r="J94" s="6" t="e">
        <f t="shared" si="3"/>
        <v>#VALUE!</v>
      </c>
      <c r="M94" s="9" t="b">
        <f t="shared" si="4"/>
        <v>0</v>
      </c>
      <c r="N94" s="10" t="e">
        <f t="shared" ref="N94:DJ94" si="103">IF(N$1&gt;$L$2,"",IF(N$1=$L$2,1,IF($L$2-N$1=$L$1-$M94,$L$3^($L$1-$M94),($L$3*N95*O95/(N95+($L$3-1)*O95)))))</f>
        <v>#DIV/0!</v>
      </c>
      <c r="O94" s="10" t="e">
        <f t="shared" si="103"/>
        <v>#DIV/0!</v>
      </c>
      <c r="P94" s="10">
        <f t="shared" si="103"/>
        <v>1</v>
      </c>
      <c r="Q94" s="10" t="str">
        <f t="shared" si="103"/>
        <v/>
      </c>
      <c r="R94" s="10" t="str">
        <f t="shared" si="103"/>
        <v/>
      </c>
      <c r="S94" s="10" t="str">
        <f t="shared" si="103"/>
        <v/>
      </c>
      <c r="T94" s="10" t="str">
        <f t="shared" si="103"/>
        <v/>
      </c>
      <c r="U94" s="10" t="str">
        <f t="shared" si="103"/>
        <v/>
      </c>
      <c r="V94" s="10" t="str">
        <f t="shared" si="103"/>
        <v/>
      </c>
      <c r="W94" s="10" t="str">
        <f t="shared" si="103"/>
        <v/>
      </c>
      <c r="X94" s="10" t="str">
        <f t="shared" si="103"/>
        <v/>
      </c>
      <c r="Y94" s="10" t="str">
        <f t="shared" si="103"/>
        <v/>
      </c>
      <c r="Z94" s="10" t="str">
        <f t="shared" si="103"/>
        <v/>
      </c>
      <c r="AA94" s="10" t="str">
        <f t="shared" si="103"/>
        <v/>
      </c>
      <c r="AB94" s="10" t="str">
        <f t="shared" si="103"/>
        <v/>
      </c>
      <c r="AC94" s="10" t="str">
        <f t="shared" si="103"/>
        <v/>
      </c>
      <c r="AD94" s="10" t="str">
        <f t="shared" si="103"/>
        <v/>
      </c>
      <c r="AE94" s="10" t="str">
        <f t="shared" si="103"/>
        <v/>
      </c>
      <c r="AF94" s="10" t="str">
        <f t="shared" si="103"/>
        <v/>
      </c>
      <c r="AG94" s="10" t="str">
        <f t="shared" si="103"/>
        <v/>
      </c>
      <c r="AH94" s="10" t="str">
        <f t="shared" si="103"/>
        <v/>
      </c>
      <c r="AI94" s="10" t="str">
        <f t="shared" si="103"/>
        <v/>
      </c>
      <c r="AJ94" s="10" t="str">
        <f t="shared" si="103"/>
        <v/>
      </c>
      <c r="AK94" s="10" t="str">
        <f t="shared" si="103"/>
        <v/>
      </c>
      <c r="AL94" s="10" t="str">
        <f t="shared" si="103"/>
        <v/>
      </c>
      <c r="AM94" s="10" t="str">
        <f t="shared" si="103"/>
        <v/>
      </c>
      <c r="AN94" s="10" t="str">
        <f t="shared" si="103"/>
        <v/>
      </c>
      <c r="AO94" s="10" t="str">
        <f t="shared" si="103"/>
        <v/>
      </c>
      <c r="AP94" s="10" t="str">
        <f t="shared" si="103"/>
        <v/>
      </c>
      <c r="AQ94" s="10" t="str">
        <f t="shared" si="103"/>
        <v/>
      </c>
      <c r="AR94" s="10" t="str">
        <f t="shared" si="103"/>
        <v/>
      </c>
      <c r="AS94" s="10" t="str">
        <f t="shared" si="103"/>
        <v/>
      </c>
      <c r="AT94" s="10" t="str">
        <f t="shared" si="103"/>
        <v/>
      </c>
      <c r="AU94" s="10" t="str">
        <f t="shared" si="103"/>
        <v/>
      </c>
      <c r="AV94" s="10" t="str">
        <f t="shared" si="103"/>
        <v/>
      </c>
      <c r="AW94" s="10" t="str">
        <f t="shared" si="103"/>
        <v/>
      </c>
      <c r="AX94" s="10" t="str">
        <f t="shared" si="103"/>
        <v/>
      </c>
      <c r="AY94" s="10" t="str">
        <f t="shared" si="103"/>
        <v/>
      </c>
      <c r="AZ94" s="10" t="str">
        <f t="shared" si="103"/>
        <v/>
      </c>
      <c r="BA94" s="10" t="str">
        <f t="shared" si="103"/>
        <v/>
      </c>
      <c r="BB94" s="10" t="str">
        <f t="shared" si="103"/>
        <v/>
      </c>
      <c r="BC94" s="10" t="str">
        <f t="shared" si="103"/>
        <v/>
      </c>
      <c r="BD94" s="10" t="str">
        <f t="shared" si="103"/>
        <v/>
      </c>
      <c r="BE94" s="10" t="str">
        <f t="shared" si="103"/>
        <v/>
      </c>
      <c r="BF94" s="10" t="str">
        <f t="shared" si="103"/>
        <v/>
      </c>
      <c r="BG94" s="10" t="str">
        <f t="shared" si="103"/>
        <v/>
      </c>
      <c r="BH94" s="10" t="str">
        <f t="shared" si="103"/>
        <v/>
      </c>
      <c r="BI94" s="10" t="str">
        <f t="shared" si="103"/>
        <v/>
      </c>
      <c r="BJ94" s="10" t="str">
        <f t="shared" si="103"/>
        <v/>
      </c>
      <c r="BK94" s="10" t="str">
        <f t="shared" si="103"/>
        <v/>
      </c>
      <c r="BL94" s="10" t="str">
        <f t="shared" si="103"/>
        <v/>
      </c>
      <c r="BM94" s="10" t="str">
        <f t="shared" si="103"/>
        <v/>
      </c>
      <c r="BN94" s="10" t="str">
        <f t="shared" si="103"/>
        <v/>
      </c>
      <c r="BO94" s="10" t="str">
        <f t="shared" si="103"/>
        <v/>
      </c>
      <c r="BP94" s="10" t="str">
        <f t="shared" si="103"/>
        <v/>
      </c>
      <c r="BQ94" s="10" t="str">
        <f t="shared" si="103"/>
        <v/>
      </c>
      <c r="BR94" s="10" t="str">
        <f t="shared" si="103"/>
        <v/>
      </c>
      <c r="BS94" s="10" t="str">
        <f t="shared" si="103"/>
        <v/>
      </c>
      <c r="BT94" s="10" t="str">
        <f t="shared" si="103"/>
        <v/>
      </c>
      <c r="BU94" s="10" t="str">
        <f t="shared" si="103"/>
        <v/>
      </c>
      <c r="BV94" s="10" t="str">
        <f t="shared" si="103"/>
        <v/>
      </c>
      <c r="BW94" s="10" t="str">
        <f t="shared" si="103"/>
        <v/>
      </c>
      <c r="BX94" s="10" t="str">
        <f t="shared" si="103"/>
        <v/>
      </c>
      <c r="BY94" s="10" t="str">
        <f t="shared" si="103"/>
        <v/>
      </c>
      <c r="BZ94" s="10" t="str">
        <f t="shared" si="103"/>
        <v/>
      </c>
      <c r="CA94" s="10" t="str">
        <f t="shared" si="103"/>
        <v/>
      </c>
      <c r="CB94" s="10" t="str">
        <f t="shared" si="103"/>
        <v/>
      </c>
      <c r="CC94" s="10" t="str">
        <f t="shared" si="103"/>
        <v/>
      </c>
      <c r="CD94" s="10" t="str">
        <f t="shared" si="103"/>
        <v/>
      </c>
      <c r="CE94" s="10" t="str">
        <f t="shared" si="103"/>
        <v/>
      </c>
      <c r="CF94" s="10" t="str">
        <f t="shared" si="103"/>
        <v/>
      </c>
      <c r="CG94" s="10" t="str">
        <f t="shared" si="103"/>
        <v/>
      </c>
      <c r="CH94" s="10" t="str">
        <f t="shared" si="103"/>
        <v/>
      </c>
      <c r="CI94" s="10" t="str">
        <f t="shared" si="103"/>
        <v/>
      </c>
      <c r="CJ94" s="10" t="str">
        <f t="shared" si="103"/>
        <v/>
      </c>
      <c r="CK94" s="10" t="str">
        <f t="shared" si="103"/>
        <v/>
      </c>
      <c r="CL94" s="10" t="str">
        <f t="shared" si="103"/>
        <v/>
      </c>
      <c r="CM94" s="10" t="str">
        <f t="shared" si="103"/>
        <v/>
      </c>
      <c r="CN94" s="10" t="str">
        <f t="shared" si="103"/>
        <v/>
      </c>
      <c r="CO94" s="10" t="str">
        <f t="shared" si="103"/>
        <v/>
      </c>
      <c r="CP94" s="10" t="str">
        <f t="shared" si="103"/>
        <v/>
      </c>
      <c r="CQ94" s="10" t="str">
        <f t="shared" si="103"/>
        <v/>
      </c>
      <c r="CR94" s="10" t="str">
        <f t="shared" si="103"/>
        <v/>
      </c>
      <c r="CS94" s="10" t="str">
        <f t="shared" si="103"/>
        <v/>
      </c>
      <c r="CT94" s="10" t="str">
        <f t="shared" si="103"/>
        <v/>
      </c>
      <c r="CU94" s="10" t="str">
        <f t="shared" si="103"/>
        <v/>
      </c>
      <c r="CV94" s="10" t="str">
        <f t="shared" si="103"/>
        <v/>
      </c>
      <c r="CW94" s="10" t="str">
        <f t="shared" si="103"/>
        <v/>
      </c>
      <c r="CX94" s="10" t="str">
        <f t="shared" si="103"/>
        <v/>
      </c>
      <c r="CY94" s="10" t="str">
        <f t="shared" si="103"/>
        <v/>
      </c>
      <c r="CZ94" s="10" t="str">
        <f t="shared" si="103"/>
        <v/>
      </c>
      <c r="DA94" s="10" t="str">
        <f t="shared" si="103"/>
        <v/>
      </c>
      <c r="DB94" s="10" t="str">
        <f t="shared" si="103"/>
        <v/>
      </c>
      <c r="DC94" s="10" t="str">
        <f t="shared" si="103"/>
        <v/>
      </c>
      <c r="DD94" s="10" t="str">
        <f t="shared" si="103"/>
        <v/>
      </c>
      <c r="DE94" s="10" t="str">
        <f t="shared" si="103"/>
        <v/>
      </c>
      <c r="DF94" s="10" t="str">
        <f t="shared" si="103"/>
        <v/>
      </c>
      <c r="DG94" s="10" t="str">
        <f t="shared" si="103"/>
        <v/>
      </c>
      <c r="DH94" s="10" t="str">
        <f t="shared" si="103"/>
        <v/>
      </c>
      <c r="DI94" s="10" t="str">
        <f t="shared" si="103"/>
        <v/>
      </c>
      <c r="DJ94" s="10" t="str">
        <f t="shared" si="103"/>
        <v/>
      </c>
    </row>
    <row r="95" spans="1:114" ht="13.5" customHeight="1">
      <c r="A95" s="1">
        <f>Gerenciamento!D95</f>
        <v>0</v>
      </c>
      <c r="B95" s="1" t="e">
        <f t="shared" si="2"/>
        <v>#VALUE!</v>
      </c>
      <c r="C95" s="2" t="e">
        <f t="shared" si="6"/>
        <v>#VALUE!</v>
      </c>
      <c r="D95" s="2" t="e">
        <f t="shared" si="7"/>
        <v>#VALUE!</v>
      </c>
      <c r="E95" s="2" t="e">
        <f t="shared" si="8"/>
        <v>#VALUE!</v>
      </c>
      <c r="F95" s="2" t="e">
        <f t="shared" si="9"/>
        <v>#VALUE!</v>
      </c>
      <c r="G95" s="5" t="e">
        <f t="shared" si="15"/>
        <v>#VALUE!</v>
      </c>
      <c r="H95" s="1" t="e">
        <f t="shared" si="10"/>
        <v>#VALUE!</v>
      </c>
      <c r="I95" s="1" t="e">
        <f t="shared" si="12"/>
        <v>#VALUE!</v>
      </c>
      <c r="J95" s="6" t="e">
        <f t="shared" si="3"/>
        <v>#VALUE!</v>
      </c>
      <c r="M95" s="9" t="b">
        <f t="shared" si="4"/>
        <v>0</v>
      </c>
      <c r="N95" s="10" t="e">
        <f t="shared" ref="N95:DJ95" si="104">IF(N$1&gt;$L$2,"",IF(N$1=$L$2,1,IF($L$2-N$1=$L$1-$M95,$L$3^($L$1-$M95),($L$3*N96*O96/(N96+($L$3-1)*O96)))))</f>
        <v>#DIV/0!</v>
      </c>
      <c r="O95" s="10" t="e">
        <f t="shared" si="104"/>
        <v>#DIV/0!</v>
      </c>
      <c r="P95" s="10">
        <f t="shared" si="104"/>
        <v>1</v>
      </c>
      <c r="Q95" s="10" t="str">
        <f t="shared" si="104"/>
        <v/>
      </c>
      <c r="R95" s="10" t="str">
        <f t="shared" si="104"/>
        <v/>
      </c>
      <c r="S95" s="10" t="str">
        <f t="shared" si="104"/>
        <v/>
      </c>
      <c r="T95" s="10" t="str">
        <f t="shared" si="104"/>
        <v/>
      </c>
      <c r="U95" s="10" t="str">
        <f t="shared" si="104"/>
        <v/>
      </c>
      <c r="V95" s="10" t="str">
        <f t="shared" si="104"/>
        <v/>
      </c>
      <c r="W95" s="10" t="str">
        <f t="shared" si="104"/>
        <v/>
      </c>
      <c r="X95" s="10" t="str">
        <f t="shared" si="104"/>
        <v/>
      </c>
      <c r="Y95" s="10" t="str">
        <f t="shared" si="104"/>
        <v/>
      </c>
      <c r="Z95" s="10" t="str">
        <f t="shared" si="104"/>
        <v/>
      </c>
      <c r="AA95" s="10" t="str">
        <f t="shared" si="104"/>
        <v/>
      </c>
      <c r="AB95" s="10" t="str">
        <f t="shared" si="104"/>
        <v/>
      </c>
      <c r="AC95" s="10" t="str">
        <f t="shared" si="104"/>
        <v/>
      </c>
      <c r="AD95" s="10" t="str">
        <f t="shared" si="104"/>
        <v/>
      </c>
      <c r="AE95" s="10" t="str">
        <f t="shared" si="104"/>
        <v/>
      </c>
      <c r="AF95" s="10" t="str">
        <f t="shared" si="104"/>
        <v/>
      </c>
      <c r="AG95" s="10" t="str">
        <f t="shared" si="104"/>
        <v/>
      </c>
      <c r="AH95" s="10" t="str">
        <f t="shared" si="104"/>
        <v/>
      </c>
      <c r="AI95" s="10" t="str">
        <f t="shared" si="104"/>
        <v/>
      </c>
      <c r="AJ95" s="10" t="str">
        <f t="shared" si="104"/>
        <v/>
      </c>
      <c r="AK95" s="10" t="str">
        <f t="shared" si="104"/>
        <v/>
      </c>
      <c r="AL95" s="10" t="str">
        <f t="shared" si="104"/>
        <v/>
      </c>
      <c r="AM95" s="10" t="str">
        <f t="shared" si="104"/>
        <v/>
      </c>
      <c r="AN95" s="10" t="str">
        <f t="shared" si="104"/>
        <v/>
      </c>
      <c r="AO95" s="10" t="str">
        <f t="shared" si="104"/>
        <v/>
      </c>
      <c r="AP95" s="10" t="str">
        <f t="shared" si="104"/>
        <v/>
      </c>
      <c r="AQ95" s="10" t="str">
        <f t="shared" si="104"/>
        <v/>
      </c>
      <c r="AR95" s="10" t="str">
        <f t="shared" si="104"/>
        <v/>
      </c>
      <c r="AS95" s="10" t="str">
        <f t="shared" si="104"/>
        <v/>
      </c>
      <c r="AT95" s="10" t="str">
        <f t="shared" si="104"/>
        <v/>
      </c>
      <c r="AU95" s="10" t="str">
        <f t="shared" si="104"/>
        <v/>
      </c>
      <c r="AV95" s="10" t="str">
        <f t="shared" si="104"/>
        <v/>
      </c>
      <c r="AW95" s="10" t="str">
        <f t="shared" si="104"/>
        <v/>
      </c>
      <c r="AX95" s="10" t="str">
        <f t="shared" si="104"/>
        <v/>
      </c>
      <c r="AY95" s="10" t="str">
        <f t="shared" si="104"/>
        <v/>
      </c>
      <c r="AZ95" s="10" t="str">
        <f t="shared" si="104"/>
        <v/>
      </c>
      <c r="BA95" s="10" t="str">
        <f t="shared" si="104"/>
        <v/>
      </c>
      <c r="BB95" s="10" t="str">
        <f t="shared" si="104"/>
        <v/>
      </c>
      <c r="BC95" s="10" t="str">
        <f t="shared" si="104"/>
        <v/>
      </c>
      <c r="BD95" s="10" t="str">
        <f t="shared" si="104"/>
        <v/>
      </c>
      <c r="BE95" s="10" t="str">
        <f t="shared" si="104"/>
        <v/>
      </c>
      <c r="BF95" s="10" t="str">
        <f t="shared" si="104"/>
        <v/>
      </c>
      <c r="BG95" s="10" t="str">
        <f t="shared" si="104"/>
        <v/>
      </c>
      <c r="BH95" s="10" t="str">
        <f t="shared" si="104"/>
        <v/>
      </c>
      <c r="BI95" s="10" t="str">
        <f t="shared" si="104"/>
        <v/>
      </c>
      <c r="BJ95" s="10" t="str">
        <f t="shared" si="104"/>
        <v/>
      </c>
      <c r="BK95" s="10" t="str">
        <f t="shared" si="104"/>
        <v/>
      </c>
      <c r="BL95" s="10" t="str">
        <f t="shared" si="104"/>
        <v/>
      </c>
      <c r="BM95" s="10" t="str">
        <f t="shared" si="104"/>
        <v/>
      </c>
      <c r="BN95" s="10" t="str">
        <f t="shared" si="104"/>
        <v/>
      </c>
      <c r="BO95" s="10" t="str">
        <f t="shared" si="104"/>
        <v/>
      </c>
      <c r="BP95" s="10" t="str">
        <f t="shared" si="104"/>
        <v/>
      </c>
      <c r="BQ95" s="10" t="str">
        <f t="shared" si="104"/>
        <v/>
      </c>
      <c r="BR95" s="10" t="str">
        <f t="shared" si="104"/>
        <v/>
      </c>
      <c r="BS95" s="10" t="str">
        <f t="shared" si="104"/>
        <v/>
      </c>
      <c r="BT95" s="10" t="str">
        <f t="shared" si="104"/>
        <v/>
      </c>
      <c r="BU95" s="10" t="str">
        <f t="shared" si="104"/>
        <v/>
      </c>
      <c r="BV95" s="10" t="str">
        <f t="shared" si="104"/>
        <v/>
      </c>
      <c r="BW95" s="10" t="str">
        <f t="shared" si="104"/>
        <v/>
      </c>
      <c r="BX95" s="10" t="str">
        <f t="shared" si="104"/>
        <v/>
      </c>
      <c r="BY95" s="10" t="str">
        <f t="shared" si="104"/>
        <v/>
      </c>
      <c r="BZ95" s="10" t="str">
        <f t="shared" si="104"/>
        <v/>
      </c>
      <c r="CA95" s="10" t="str">
        <f t="shared" si="104"/>
        <v/>
      </c>
      <c r="CB95" s="10" t="str">
        <f t="shared" si="104"/>
        <v/>
      </c>
      <c r="CC95" s="10" t="str">
        <f t="shared" si="104"/>
        <v/>
      </c>
      <c r="CD95" s="10" t="str">
        <f t="shared" si="104"/>
        <v/>
      </c>
      <c r="CE95" s="10" t="str">
        <f t="shared" si="104"/>
        <v/>
      </c>
      <c r="CF95" s="10" t="str">
        <f t="shared" si="104"/>
        <v/>
      </c>
      <c r="CG95" s="10" t="str">
        <f t="shared" si="104"/>
        <v/>
      </c>
      <c r="CH95" s="10" t="str">
        <f t="shared" si="104"/>
        <v/>
      </c>
      <c r="CI95" s="10" t="str">
        <f t="shared" si="104"/>
        <v/>
      </c>
      <c r="CJ95" s="10" t="str">
        <f t="shared" si="104"/>
        <v/>
      </c>
      <c r="CK95" s="10" t="str">
        <f t="shared" si="104"/>
        <v/>
      </c>
      <c r="CL95" s="10" t="str">
        <f t="shared" si="104"/>
        <v/>
      </c>
      <c r="CM95" s="10" t="str">
        <f t="shared" si="104"/>
        <v/>
      </c>
      <c r="CN95" s="10" t="str">
        <f t="shared" si="104"/>
        <v/>
      </c>
      <c r="CO95" s="10" t="str">
        <f t="shared" si="104"/>
        <v/>
      </c>
      <c r="CP95" s="10" t="str">
        <f t="shared" si="104"/>
        <v/>
      </c>
      <c r="CQ95" s="10" t="str">
        <f t="shared" si="104"/>
        <v/>
      </c>
      <c r="CR95" s="10" t="str">
        <f t="shared" si="104"/>
        <v/>
      </c>
      <c r="CS95" s="10" t="str">
        <f t="shared" si="104"/>
        <v/>
      </c>
      <c r="CT95" s="10" t="str">
        <f t="shared" si="104"/>
        <v/>
      </c>
      <c r="CU95" s="10" t="str">
        <f t="shared" si="104"/>
        <v/>
      </c>
      <c r="CV95" s="10" t="str">
        <f t="shared" si="104"/>
        <v/>
      </c>
      <c r="CW95" s="10" t="str">
        <f t="shared" si="104"/>
        <v/>
      </c>
      <c r="CX95" s="10" t="str">
        <f t="shared" si="104"/>
        <v/>
      </c>
      <c r="CY95" s="10" t="str">
        <f t="shared" si="104"/>
        <v/>
      </c>
      <c r="CZ95" s="10" t="str">
        <f t="shared" si="104"/>
        <v/>
      </c>
      <c r="DA95" s="10" t="str">
        <f t="shared" si="104"/>
        <v/>
      </c>
      <c r="DB95" s="10" t="str">
        <f t="shared" si="104"/>
        <v/>
      </c>
      <c r="DC95" s="10" t="str">
        <f t="shared" si="104"/>
        <v/>
      </c>
      <c r="DD95" s="10" t="str">
        <f t="shared" si="104"/>
        <v/>
      </c>
      <c r="DE95" s="10" t="str">
        <f t="shared" si="104"/>
        <v/>
      </c>
      <c r="DF95" s="10" t="str">
        <f t="shared" si="104"/>
        <v/>
      </c>
      <c r="DG95" s="10" t="str">
        <f t="shared" si="104"/>
        <v/>
      </c>
      <c r="DH95" s="10" t="str">
        <f t="shared" si="104"/>
        <v/>
      </c>
      <c r="DI95" s="10" t="str">
        <f t="shared" si="104"/>
        <v/>
      </c>
      <c r="DJ95" s="10" t="str">
        <f t="shared" si="104"/>
        <v/>
      </c>
    </row>
    <row r="96" spans="1:114" ht="13.5" customHeight="1">
      <c r="A96" s="1">
        <f>Gerenciamento!D96</f>
        <v>0</v>
      </c>
      <c r="B96" s="1" t="e">
        <f t="shared" si="2"/>
        <v>#VALUE!</v>
      </c>
      <c r="C96" s="2" t="e">
        <f t="shared" si="6"/>
        <v>#VALUE!</v>
      </c>
      <c r="D96" s="2" t="e">
        <f t="shared" si="7"/>
        <v>#VALUE!</v>
      </c>
      <c r="E96" s="2" t="e">
        <f t="shared" si="8"/>
        <v>#VALUE!</v>
      </c>
      <c r="F96" s="2" t="e">
        <f t="shared" si="9"/>
        <v>#VALUE!</v>
      </c>
      <c r="G96" s="5" t="e">
        <f t="shared" si="15"/>
        <v>#VALUE!</v>
      </c>
      <c r="H96" s="1" t="e">
        <f t="shared" si="10"/>
        <v>#VALUE!</v>
      </c>
      <c r="I96" s="1" t="e">
        <f t="shared" si="12"/>
        <v>#VALUE!</v>
      </c>
      <c r="J96" s="6" t="e">
        <f t="shared" si="3"/>
        <v>#VALUE!</v>
      </c>
      <c r="M96" s="9" t="b">
        <f t="shared" si="4"/>
        <v>0</v>
      </c>
      <c r="N96" s="10" t="e">
        <f t="shared" ref="N96:DJ96" si="105">IF(N$1&gt;$L$2,"",IF(N$1=$L$2,1,IF($L$2-N$1=$L$1-$M96,$L$3^($L$1-$M96),($L$3*N97*O97/(N97+($L$3-1)*O97)))))</f>
        <v>#DIV/0!</v>
      </c>
      <c r="O96" s="10" t="e">
        <f t="shared" si="105"/>
        <v>#DIV/0!</v>
      </c>
      <c r="P96" s="10">
        <f t="shared" si="105"/>
        <v>1</v>
      </c>
      <c r="Q96" s="10" t="str">
        <f t="shared" si="105"/>
        <v/>
      </c>
      <c r="R96" s="10" t="str">
        <f t="shared" si="105"/>
        <v/>
      </c>
      <c r="S96" s="10" t="str">
        <f t="shared" si="105"/>
        <v/>
      </c>
      <c r="T96" s="10" t="str">
        <f t="shared" si="105"/>
        <v/>
      </c>
      <c r="U96" s="10" t="str">
        <f t="shared" si="105"/>
        <v/>
      </c>
      <c r="V96" s="10" t="str">
        <f t="shared" si="105"/>
        <v/>
      </c>
      <c r="W96" s="10" t="str">
        <f t="shared" si="105"/>
        <v/>
      </c>
      <c r="X96" s="10" t="str">
        <f t="shared" si="105"/>
        <v/>
      </c>
      <c r="Y96" s="10" t="str">
        <f t="shared" si="105"/>
        <v/>
      </c>
      <c r="Z96" s="10" t="str">
        <f t="shared" si="105"/>
        <v/>
      </c>
      <c r="AA96" s="10" t="str">
        <f t="shared" si="105"/>
        <v/>
      </c>
      <c r="AB96" s="10" t="str">
        <f t="shared" si="105"/>
        <v/>
      </c>
      <c r="AC96" s="10" t="str">
        <f t="shared" si="105"/>
        <v/>
      </c>
      <c r="AD96" s="10" t="str">
        <f t="shared" si="105"/>
        <v/>
      </c>
      <c r="AE96" s="10" t="str">
        <f t="shared" si="105"/>
        <v/>
      </c>
      <c r="AF96" s="10" t="str">
        <f t="shared" si="105"/>
        <v/>
      </c>
      <c r="AG96" s="10" t="str">
        <f t="shared" si="105"/>
        <v/>
      </c>
      <c r="AH96" s="10" t="str">
        <f t="shared" si="105"/>
        <v/>
      </c>
      <c r="AI96" s="10" t="str">
        <f t="shared" si="105"/>
        <v/>
      </c>
      <c r="AJ96" s="10" t="str">
        <f t="shared" si="105"/>
        <v/>
      </c>
      <c r="AK96" s="10" t="str">
        <f t="shared" si="105"/>
        <v/>
      </c>
      <c r="AL96" s="10" t="str">
        <f t="shared" si="105"/>
        <v/>
      </c>
      <c r="AM96" s="10" t="str">
        <f t="shared" si="105"/>
        <v/>
      </c>
      <c r="AN96" s="10" t="str">
        <f t="shared" si="105"/>
        <v/>
      </c>
      <c r="AO96" s="10" t="str">
        <f t="shared" si="105"/>
        <v/>
      </c>
      <c r="AP96" s="10" t="str">
        <f t="shared" si="105"/>
        <v/>
      </c>
      <c r="AQ96" s="10" t="str">
        <f t="shared" si="105"/>
        <v/>
      </c>
      <c r="AR96" s="10" t="str">
        <f t="shared" si="105"/>
        <v/>
      </c>
      <c r="AS96" s="10" t="str">
        <f t="shared" si="105"/>
        <v/>
      </c>
      <c r="AT96" s="10" t="str">
        <f t="shared" si="105"/>
        <v/>
      </c>
      <c r="AU96" s="10" t="str">
        <f t="shared" si="105"/>
        <v/>
      </c>
      <c r="AV96" s="10" t="str">
        <f t="shared" si="105"/>
        <v/>
      </c>
      <c r="AW96" s="10" t="str">
        <f t="shared" si="105"/>
        <v/>
      </c>
      <c r="AX96" s="10" t="str">
        <f t="shared" si="105"/>
        <v/>
      </c>
      <c r="AY96" s="10" t="str">
        <f t="shared" si="105"/>
        <v/>
      </c>
      <c r="AZ96" s="10" t="str">
        <f t="shared" si="105"/>
        <v/>
      </c>
      <c r="BA96" s="10" t="str">
        <f t="shared" si="105"/>
        <v/>
      </c>
      <c r="BB96" s="10" t="str">
        <f t="shared" si="105"/>
        <v/>
      </c>
      <c r="BC96" s="10" t="str">
        <f t="shared" si="105"/>
        <v/>
      </c>
      <c r="BD96" s="10" t="str">
        <f t="shared" si="105"/>
        <v/>
      </c>
      <c r="BE96" s="10" t="str">
        <f t="shared" si="105"/>
        <v/>
      </c>
      <c r="BF96" s="10" t="str">
        <f t="shared" si="105"/>
        <v/>
      </c>
      <c r="BG96" s="10" t="str">
        <f t="shared" si="105"/>
        <v/>
      </c>
      <c r="BH96" s="10" t="str">
        <f t="shared" si="105"/>
        <v/>
      </c>
      <c r="BI96" s="10" t="str">
        <f t="shared" si="105"/>
        <v/>
      </c>
      <c r="BJ96" s="10" t="str">
        <f t="shared" si="105"/>
        <v/>
      </c>
      <c r="BK96" s="10" t="str">
        <f t="shared" si="105"/>
        <v/>
      </c>
      <c r="BL96" s="10" t="str">
        <f t="shared" si="105"/>
        <v/>
      </c>
      <c r="BM96" s="10" t="str">
        <f t="shared" si="105"/>
        <v/>
      </c>
      <c r="BN96" s="10" t="str">
        <f t="shared" si="105"/>
        <v/>
      </c>
      <c r="BO96" s="10" t="str">
        <f t="shared" si="105"/>
        <v/>
      </c>
      <c r="BP96" s="10" t="str">
        <f t="shared" si="105"/>
        <v/>
      </c>
      <c r="BQ96" s="10" t="str">
        <f t="shared" si="105"/>
        <v/>
      </c>
      <c r="BR96" s="10" t="str">
        <f t="shared" si="105"/>
        <v/>
      </c>
      <c r="BS96" s="10" t="str">
        <f t="shared" si="105"/>
        <v/>
      </c>
      <c r="BT96" s="10" t="str">
        <f t="shared" si="105"/>
        <v/>
      </c>
      <c r="BU96" s="10" t="str">
        <f t="shared" si="105"/>
        <v/>
      </c>
      <c r="BV96" s="10" t="str">
        <f t="shared" si="105"/>
        <v/>
      </c>
      <c r="BW96" s="10" t="str">
        <f t="shared" si="105"/>
        <v/>
      </c>
      <c r="BX96" s="10" t="str">
        <f t="shared" si="105"/>
        <v/>
      </c>
      <c r="BY96" s="10" t="str">
        <f t="shared" si="105"/>
        <v/>
      </c>
      <c r="BZ96" s="10" t="str">
        <f t="shared" si="105"/>
        <v/>
      </c>
      <c r="CA96" s="10" t="str">
        <f t="shared" si="105"/>
        <v/>
      </c>
      <c r="CB96" s="10" t="str">
        <f t="shared" si="105"/>
        <v/>
      </c>
      <c r="CC96" s="10" t="str">
        <f t="shared" si="105"/>
        <v/>
      </c>
      <c r="CD96" s="10" t="str">
        <f t="shared" si="105"/>
        <v/>
      </c>
      <c r="CE96" s="10" t="str">
        <f t="shared" si="105"/>
        <v/>
      </c>
      <c r="CF96" s="10" t="str">
        <f t="shared" si="105"/>
        <v/>
      </c>
      <c r="CG96" s="10" t="str">
        <f t="shared" si="105"/>
        <v/>
      </c>
      <c r="CH96" s="10" t="str">
        <f t="shared" si="105"/>
        <v/>
      </c>
      <c r="CI96" s="10" t="str">
        <f t="shared" si="105"/>
        <v/>
      </c>
      <c r="CJ96" s="10" t="str">
        <f t="shared" si="105"/>
        <v/>
      </c>
      <c r="CK96" s="10" t="str">
        <f t="shared" si="105"/>
        <v/>
      </c>
      <c r="CL96" s="10" t="str">
        <f t="shared" si="105"/>
        <v/>
      </c>
      <c r="CM96" s="10" t="str">
        <f t="shared" si="105"/>
        <v/>
      </c>
      <c r="CN96" s="10" t="str">
        <f t="shared" si="105"/>
        <v/>
      </c>
      <c r="CO96" s="10" t="str">
        <f t="shared" si="105"/>
        <v/>
      </c>
      <c r="CP96" s="10" t="str">
        <f t="shared" si="105"/>
        <v/>
      </c>
      <c r="CQ96" s="10" t="str">
        <f t="shared" si="105"/>
        <v/>
      </c>
      <c r="CR96" s="10" t="str">
        <f t="shared" si="105"/>
        <v/>
      </c>
      <c r="CS96" s="10" t="str">
        <f t="shared" si="105"/>
        <v/>
      </c>
      <c r="CT96" s="10" t="str">
        <f t="shared" si="105"/>
        <v/>
      </c>
      <c r="CU96" s="10" t="str">
        <f t="shared" si="105"/>
        <v/>
      </c>
      <c r="CV96" s="10" t="str">
        <f t="shared" si="105"/>
        <v/>
      </c>
      <c r="CW96" s="10" t="str">
        <f t="shared" si="105"/>
        <v/>
      </c>
      <c r="CX96" s="10" t="str">
        <f t="shared" si="105"/>
        <v/>
      </c>
      <c r="CY96" s="10" t="str">
        <f t="shared" si="105"/>
        <v/>
      </c>
      <c r="CZ96" s="10" t="str">
        <f t="shared" si="105"/>
        <v/>
      </c>
      <c r="DA96" s="10" t="str">
        <f t="shared" si="105"/>
        <v/>
      </c>
      <c r="DB96" s="10" t="str">
        <f t="shared" si="105"/>
        <v/>
      </c>
      <c r="DC96" s="10" t="str">
        <f t="shared" si="105"/>
        <v/>
      </c>
      <c r="DD96" s="10" t="str">
        <f t="shared" si="105"/>
        <v/>
      </c>
      <c r="DE96" s="10" t="str">
        <f t="shared" si="105"/>
        <v/>
      </c>
      <c r="DF96" s="10" t="str">
        <f t="shared" si="105"/>
        <v/>
      </c>
      <c r="DG96" s="10" t="str">
        <f t="shared" si="105"/>
        <v/>
      </c>
      <c r="DH96" s="10" t="str">
        <f t="shared" si="105"/>
        <v/>
      </c>
      <c r="DI96" s="10" t="str">
        <f t="shared" si="105"/>
        <v/>
      </c>
      <c r="DJ96" s="10" t="str">
        <f t="shared" si="105"/>
        <v/>
      </c>
    </row>
    <row r="97" spans="1:114" ht="13.5" customHeight="1">
      <c r="A97" s="1">
        <f>Gerenciamento!D97</f>
        <v>0</v>
      </c>
      <c r="B97" s="1" t="e">
        <f t="shared" si="2"/>
        <v>#VALUE!</v>
      </c>
      <c r="C97" s="2" t="e">
        <f t="shared" si="6"/>
        <v>#VALUE!</v>
      </c>
      <c r="D97" s="2" t="e">
        <f t="shared" si="7"/>
        <v>#VALUE!</v>
      </c>
      <c r="E97" s="2" t="e">
        <f t="shared" si="8"/>
        <v>#VALUE!</v>
      </c>
      <c r="F97" s="2" t="e">
        <f t="shared" si="9"/>
        <v>#VALUE!</v>
      </c>
      <c r="G97" s="5" t="e">
        <f t="shared" si="15"/>
        <v>#VALUE!</v>
      </c>
      <c r="H97" s="1" t="e">
        <f t="shared" si="10"/>
        <v>#VALUE!</v>
      </c>
      <c r="I97" s="1" t="e">
        <f t="shared" si="12"/>
        <v>#VALUE!</v>
      </c>
      <c r="J97" s="6" t="e">
        <f t="shared" si="3"/>
        <v>#VALUE!</v>
      </c>
      <c r="M97" s="9" t="b">
        <f t="shared" si="4"/>
        <v>0</v>
      </c>
      <c r="N97" s="10" t="e">
        <f t="shared" ref="N97:DJ97" si="106">IF(N$1&gt;$L$2,"",IF(N$1=$L$2,1,IF($L$2-N$1=$L$1-$M97,$L$3^($L$1-$M97),($L$3*N98*O98/(N98+($L$3-1)*O98)))))</f>
        <v>#DIV/0!</v>
      </c>
      <c r="O97" s="10" t="e">
        <f t="shared" si="106"/>
        <v>#DIV/0!</v>
      </c>
      <c r="P97" s="10">
        <f t="shared" si="106"/>
        <v>1</v>
      </c>
      <c r="Q97" s="10" t="str">
        <f t="shared" si="106"/>
        <v/>
      </c>
      <c r="R97" s="10" t="str">
        <f t="shared" si="106"/>
        <v/>
      </c>
      <c r="S97" s="10" t="str">
        <f t="shared" si="106"/>
        <v/>
      </c>
      <c r="T97" s="10" t="str">
        <f t="shared" si="106"/>
        <v/>
      </c>
      <c r="U97" s="10" t="str">
        <f t="shared" si="106"/>
        <v/>
      </c>
      <c r="V97" s="10" t="str">
        <f t="shared" si="106"/>
        <v/>
      </c>
      <c r="W97" s="10" t="str">
        <f t="shared" si="106"/>
        <v/>
      </c>
      <c r="X97" s="10" t="str">
        <f t="shared" si="106"/>
        <v/>
      </c>
      <c r="Y97" s="10" t="str">
        <f t="shared" si="106"/>
        <v/>
      </c>
      <c r="Z97" s="10" t="str">
        <f t="shared" si="106"/>
        <v/>
      </c>
      <c r="AA97" s="10" t="str">
        <f t="shared" si="106"/>
        <v/>
      </c>
      <c r="AB97" s="10" t="str">
        <f t="shared" si="106"/>
        <v/>
      </c>
      <c r="AC97" s="10" t="str">
        <f t="shared" si="106"/>
        <v/>
      </c>
      <c r="AD97" s="10" t="str">
        <f t="shared" si="106"/>
        <v/>
      </c>
      <c r="AE97" s="10" t="str">
        <f t="shared" si="106"/>
        <v/>
      </c>
      <c r="AF97" s="10" t="str">
        <f t="shared" si="106"/>
        <v/>
      </c>
      <c r="AG97" s="10" t="str">
        <f t="shared" si="106"/>
        <v/>
      </c>
      <c r="AH97" s="10" t="str">
        <f t="shared" si="106"/>
        <v/>
      </c>
      <c r="AI97" s="10" t="str">
        <f t="shared" si="106"/>
        <v/>
      </c>
      <c r="AJ97" s="10" t="str">
        <f t="shared" si="106"/>
        <v/>
      </c>
      <c r="AK97" s="10" t="str">
        <f t="shared" si="106"/>
        <v/>
      </c>
      <c r="AL97" s="10" t="str">
        <f t="shared" si="106"/>
        <v/>
      </c>
      <c r="AM97" s="10" t="str">
        <f t="shared" si="106"/>
        <v/>
      </c>
      <c r="AN97" s="10" t="str">
        <f t="shared" si="106"/>
        <v/>
      </c>
      <c r="AO97" s="10" t="str">
        <f t="shared" si="106"/>
        <v/>
      </c>
      <c r="AP97" s="10" t="str">
        <f t="shared" si="106"/>
        <v/>
      </c>
      <c r="AQ97" s="10" t="str">
        <f t="shared" si="106"/>
        <v/>
      </c>
      <c r="AR97" s="10" t="str">
        <f t="shared" si="106"/>
        <v/>
      </c>
      <c r="AS97" s="10" t="str">
        <f t="shared" si="106"/>
        <v/>
      </c>
      <c r="AT97" s="10" t="str">
        <f t="shared" si="106"/>
        <v/>
      </c>
      <c r="AU97" s="10" t="str">
        <f t="shared" si="106"/>
        <v/>
      </c>
      <c r="AV97" s="10" t="str">
        <f t="shared" si="106"/>
        <v/>
      </c>
      <c r="AW97" s="10" t="str">
        <f t="shared" si="106"/>
        <v/>
      </c>
      <c r="AX97" s="10" t="str">
        <f t="shared" si="106"/>
        <v/>
      </c>
      <c r="AY97" s="10" t="str">
        <f t="shared" si="106"/>
        <v/>
      </c>
      <c r="AZ97" s="10" t="str">
        <f t="shared" si="106"/>
        <v/>
      </c>
      <c r="BA97" s="10" t="str">
        <f t="shared" si="106"/>
        <v/>
      </c>
      <c r="BB97" s="10" t="str">
        <f t="shared" si="106"/>
        <v/>
      </c>
      <c r="BC97" s="10" t="str">
        <f t="shared" si="106"/>
        <v/>
      </c>
      <c r="BD97" s="10" t="str">
        <f t="shared" si="106"/>
        <v/>
      </c>
      <c r="BE97" s="10" t="str">
        <f t="shared" si="106"/>
        <v/>
      </c>
      <c r="BF97" s="10" t="str">
        <f t="shared" si="106"/>
        <v/>
      </c>
      <c r="BG97" s="10" t="str">
        <f t="shared" si="106"/>
        <v/>
      </c>
      <c r="BH97" s="10" t="str">
        <f t="shared" si="106"/>
        <v/>
      </c>
      <c r="BI97" s="10" t="str">
        <f t="shared" si="106"/>
        <v/>
      </c>
      <c r="BJ97" s="10" t="str">
        <f t="shared" si="106"/>
        <v/>
      </c>
      <c r="BK97" s="10" t="str">
        <f t="shared" si="106"/>
        <v/>
      </c>
      <c r="BL97" s="10" t="str">
        <f t="shared" si="106"/>
        <v/>
      </c>
      <c r="BM97" s="10" t="str">
        <f t="shared" si="106"/>
        <v/>
      </c>
      <c r="BN97" s="10" t="str">
        <f t="shared" si="106"/>
        <v/>
      </c>
      <c r="BO97" s="10" t="str">
        <f t="shared" si="106"/>
        <v/>
      </c>
      <c r="BP97" s="10" t="str">
        <f t="shared" si="106"/>
        <v/>
      </c>
      <c r="BQ97" s="10" t="str">
        <f t="shared" si="106"/>
        <v/>
      </c>
      <c r="BR97" s="10" t="str">
        <f t="shared" si="106"/>
        <v/>
      </c>
      <c r="BS97" s="10" t="str">
        <f t="shared" si="106"/>
        <v/>
      </c>
      <c r="BT97" s="10" t="str">
        <f t="shared" si="106"/>
        <v/>
      </c>
      <c r="BU97" s="10" t="str">
        <f t="shared" si="106"/>
        <v/>
      </c>
      <c r="BV97" s="10" t="str">
        <f t="shared" si="106"/>
        <v/>
      </c>
      <c r="BW97" s="10" t="str">
        <f t="shared" si="106"/>
        <v/>
      </c>
      <c r="BX97" s="10" t="str">
        <f t="shared" si="106"/>
        <v/>
      </c>
      <c r="BY97" s="10" t="str">
        <f t="shared" si="106"/>
        <v/>
      </c>
      <c r="BZ97" s="10" t="str">
        <f t="shared" si="106"/>
        <v/>
      </c>
      <c r="CA97" s="10" t="str">
        <f t="shared" si="106"/>
        <v/>
      </c>
      <c r="CB97" s="10" t="str">
        <f t="shared" si="106"/>
        <v/>
      </c>
      <c r="CC97" s="10" t="str">
        <f t="shared" si="106"/>
        <v/>
      </c>
      <c r="CD97" s="10" t="str">
        <f t="shared" si="106"/>
        <v/>
      </c>
      <c r="CE97" s="10" t="str">
        <f t="shared" si="106"/>
        <v/>
      </c>
      <c r="CF97" s="10" t="str">
        <f t="shared" si="106"/>
        <v/>
      </c>
      <c r="CG97" s="10" t="str">
        <f t="shared" si="106"/>
        <v/>
      </c>
      <c r="CH97" s="10" t="str">
        <f t="shared" si="106"/>
        <v/>
      </c>
      <c r="CI97" s="10" t="str">
        <f t="shared" si="106"/>
        <v/>
      </c>
      <c r="CJ97" s="10" t="str">
        <f t="shared" si="106"/>
        <v/>
      </c>
      <c r="CK97" s="10" t="str">
        <f t="shared" si="106"/>
        <v/>
      </c>
      <c r="CL97" s="10" t="str">
        <f t="shared" si="106"/>
        <v/>
      </c>
      <c r="CM97" s="10" t="str">
        <f t="shared" si="106"/>
        <v/>
      </c>
      <c r="CN97" s="10" t="str">
        <f t="shared" si="106"/>
        <v/>
      </c>
      <c r="CO97" s="10" t="str">
        <f t="shared" si="106"/>
        <v/>
      </c>
      <c r="CP97" s="10" t="str">
        <f t="shared" si="106"/>
        <v/>
      </c>
      <c r="CQ97" s="10" t="str">
        <f t="shared" si="106"/>
        <v/>
      </c>
      <c r="CR97" s="10" t="str">
        <f t="shared" si="106"/>
        <v/>
      </c>
      <c r="CS97" s="10" t="str">
        <f t="shared" si="106"/>
        <v/>
      </c>
      <c r="CT97" s="10" t="str">
        <f t="shared" si="106"/>
        <v/>
      </c>
      <c r="CU97" s="10" t="str">
        <f t="shared" si="106"/>
        <v/>
      </c>
      <c r="CV97" s="10" t="str">
        <f t="shared" si="106"/>
        <v/>
      </c>
      <c r="CW97" s="10" t="str">
        <f t="shared" si="106"/>
        <v/>
      </c>
      <c r="CX97" s="10" t="str">
        <f t="shared" si="106"/>
        <v/>
      </c>
      <c r="CY97" s="10" t="str">
        <f t="shared" si="106"/>
        <v/>
      </c>
      <c r="CZ97" s="10" t="str">
        <f t="shared" si="106"/>
        <v/>
      </c>
      <c r="DA97" s="10" t="str">
        <f t="shared" si="106"/>
        <v/>
      </c>
      <c r="DB97" s="10" t="str">
        <f t="shared" si="106"/>
        <v/>
      </c>
      <c r="DC97" s="10" t="str">
        <f t="shared" si="106"/>
        <v/>
      </c>
      <c r="DD97" s="10" t="str">
        <f t="shared" si="106"/>
        <v/>
      </c>
      <c r="DE97" s="10" t="str">
        <f t="shared" si="106"/>
        <v/>
      </c>
      <c r="DF97" s="10" t="str">
        <f t="shared" si="106"/>
        <v/>
      </c>
      <c r="DG97" s="10" t="str">
        <f t="shared" si="106"/>
        <v/>
      </c>
      <c r="DH97" s="10" t="str">
        <f t="shared" si="106"/>
        <v/>
      </c>
      <c r="DI97" s="10" t="str">
        <f t="shared" si="106"/>
        <v/>
      </c>
      <c r="DJ97" s="10" t="str">
        <f t="shared" si="106"/>
        <v/>
      </c>
    </row>
    <row r="98" spans="1:114" ht="13.5" customHeight="1">
      <c r="A98" s="1">
        <f>Gerenciamento!D98</f>
        <v>0</v>
      </c>
      <c r="B98" s="1" t="e">
        <f t="shared" si="2"/>
        <v>#VALUE!</v>
      </c>
      <c r="C98" s="2" t="e">
        <f t="shared" si="6"/>
        <v>#VALUE!</v>
      </c>
      <c r="D98" s="2" t="e">
        <f t="shared" si="7"/>
        <v>#VALUE!</v>
      </c>
      <c r="E98" s="2" t="e">
        <f t="shared" si="8"/>
        <v>#VALUE!</v>
      </c>
      <c r="F98" s="2" t="e">
        <f t="shared" si="9"/>
        <v>#VALUE!</v>
      </c>
      <c r="G98" s="5" t="e">
        <f t="shared" si="15"/>
        <v>#VALUE!</v>
      </c>
      <c r="H98" s="1" t="e">
        <f t="shared" si="10"/>
        <v>#VALUE!</v>
      </c>
      <c r="I98" s="1" t="e">
        <f t="shared" si="12"/>
        <v>#VALUE!</v>
      </c>
      <c r="J98" s="6" t="e">
        <f t="shared" si="3"/>
        <v>#VALUE!</v>
      </c>
      <c r="M98" s="9" t="b">
        <f t="shared" si="4"/>
        <v>0</v>
      </c>
      <c r="N98" s="10" t="e">
        <f t="shared" ref="N98:DJ98" si="107">IF(N$1&gt;$L$2,"",IF(N$1=$L$2,1,IF($L$2-N$1=$L$1-$M98,$L$3^($L$1-$M98),($L$3*N99*O99/(N99+($L$3-1)*O99)))))</f>
        <v>#DIV/0!</v>
      </c>
      <c r="O98" s="10" t="e">
        <f t="shared" si="107"/>
        <v>#DIV/0!</v>
      </c>
      <c r="P98" s="10">
        <f t="shared" si="107"/>
        <v>1</v>
      </c>
      <c r="Q98" s="10" t="str">
        <f t="shared" si="107"/>
        <v/>
      </c>
      <c r="R98" s="10" t="str">
        <f t="shared" si="107"/>
        <v/>
      </c>
      <c r="S98" s="10" t="str">
        <f t="shared" si="107"/>
        <v/>
      </c>
      <c r="T98" s="10" t="str">
        <f t="shared" si="107"/>
        <v/>
      </c>
      <c r="U98" s="10" t="str">
        <f t="shared" si="107"/>
        <v/>
      </c>
      <c r="V98" s="10" t="str">
        <f t="shared" si="107"/>
        <v/>
      </c>
      <c r="W98" s="10" t="str">
        <f t="shared" si="107"/>
        <v/>
      </c>
      <c r="X98" s="10" t="str">
        <f t="shared" si="107"/>
        <v/>
      </c>
      <c r="Y98" s="10" t="str">
        <f t="shared" si="107"/>
        <v/>
      </c>
      <c r="Z98" s="10" t="str">
        <f t="shared" si="107"/>
        <v/>
      </c>
      <c r="AA98" s="10" t="str">
        <f t="shared" si="107"/>
        <v/>
      </c>
      <c r="AB98" s="10" t="str">
        <f t="shared" si="107"/>
        <v/>
      </c>
      <c r="AC98" s="10" t="str">
        <f t="shared" si="107"/>
        <v/>
      </c>
      <c r="AD98" s="10" t="str">
        <f t="shared" si="107"/>
        <v/>
      </c>
      <c r="AE98" s="10" t="str">
        <f t="shared" si="107"/>
        <v/>
      </c>
      <c r="AF98" s="10" t="str">
        <f t="shared" si="107"/>
        <v/>
      </c>
      <c r="AG98" s="10" t="str">
        <f t="shared" si="107"/>
        <v/>
      </c>
      <c r="AH98" s="10" t="str">
        <f t="shared" si="107"/>
        <v/>
      </c>
      <c r="AI98" s="10" t="str">
        <f t="shared" si="107"/>
        <v/>
      </c>
      <c r="AJ98" s="10" t="str">
        <f t="shared" si="107"/>
        <v/>
      </c>
      <c r="AK98" s="10" t="str">
        <f t="shared" si="107"/>
        <v/>
      </c>
      <c r="AL98" s="10" t="str">
        <f t="shared" si="107"/>
        <v/>
      </c>
      <c r="AM98" s="10" t="str">
        <f t="shared" si="107"/>
        <v/>
      </c>
      <c r="AN98" s="10" t="str">
        <f t="shared" si="107"/>
        <v/>
      </c>
      <c r="AO98" s="10" t="str">
        <f t="shared" si="107"/>
        <v/>
      </c>
      <c r="AP98" s="10" t="str">
        <f t="shared" si="107"/>
        <v/>
      </c>
      <c r="AQ98" s="10" t="str">
        <f t="shared" si="107"/>
        <v/>
      </c>
      <c r="AR98" s="10" t="str">
        <f t="shared" si="107"/>
        <v/>
      </c>
      <c r="AS98" s="10" t="str">
        <f t="shared" si="107"/>
        <v/>
      </c>
      <c r="AT98" s="10" t="str">
        <f t="shared" si="107"/>
        <v/>
      </c>
      <c r="AU98" s="10" t="str">
        <f t="shared" si="107"/>
        <v/>
      </c>
      <c r="AV98" s="10" t="str">
        <f t="shared" si="107"/>
        <v/>
      </c>
      <c r="AW98" s="10" t="str">
        <f t="shared" si="107"/>
        <v/>
      </c>
      <c r="AX98" s="10" t="str">
        <f t="shared" si="107"/>
        <v/>
      </c>
      <c r="AY98" s="10" t="str">
        <f t="shared" si="107"/>
        <v/>
      </c>
      <c r="AZ98" s="10" t="str">
        <f t="shared" si="107"/>
        <v/>
      </c>
      <c r="BA98" s="10" t="str">
        <f t="shared" si="107"/>
        <v/>
      </c>
      <c r="BB98" s="10" t="str">
        <f t="shared" si="107"/>
        <v/>
      </c>
      <c r="BC98" s="10" t="str">
        <f t="shared" si="107"/>
        <v/>
      </c>
      <c r="BD98" s="10" t="str">
        <f t="shared" si="107"/>
        <v/>
      </c>
      <c r="BE98" s="10" t="str">
        <f t="shared" si="107"/>
        <v/>
      </c>
      <c r="BF98" s="10" t="str">
        <f t="shared" si="107"/>
        <v/>
      </c>
      <c r="BG98" s="10" t="str">
        <f t="shared" si="107"/>
        <v/>
      </c>
      <c r="BH98" s="10" t="str">
        <f t="shared" si="107"/>
        <v/>
      </c>
      <c r="BI98" s="10" t="str">
        <f t="shared" si="107"/>
        <v/>
      </c>
      <c r="BJ98" s="10" t="str">
        <f t="shared" si="107"/>
        <v/>
      </c>
      <c r="BK98" s="10" t="str">
        <f t="shared" si="107"/>
        <v/>
      </c>
      <c r="BL98" s="10" t="str">
        <f t="shared" si="107"/>
        <v/>
      </c>
      <c r="BM98" s="10" t="str">
        <f t="shared" si="107"/>
        <v/>
      </c>
      <c r="BN98" s="10" t="str">
        <f t="shared" si="107"/>
        <v/>
      </c>
      <c r="BO98" s="10" t="str">
        <f t="shared" si="107"/>
        <v/>
      </c>
      <c r="BP98" s="10" t="str">
        <f t="shared" si="107"/>
        <v/>
      </c>
      <c r="BQ98" s="10" t="str">
        <f t="shared" si="107"/>
        <v/>
      </c>
      <c r="BR98" s="10" t="str">
        <f t="shared" si="107"/>
        <v/>
      </c>
      <c r="BS98" s="10" t="str">
        <f t="shared" si="107"/>
        <v/>
      </c>
      <c r="BT98" s="10" t="str">
        <f t="shared" si="107"/>
        <v/>
      </c>
      <c r="BU98" s="10" t="str">
        <f t="shared" si="107"/>
        <v/>
      </c>
      <c r="BV98" s="10" t="str">
        <f t="shared" si="107"/>
        <v/>
      </c>
      <c r="BW98" s="10" t="str">
        <f t="shared" si="107"/>
        <v/>
      </c>
      <c r="BX98" s="10" t="str">
        <f t="shared" si="107"/>
        <v/>
      </c>
      <c r="BY98" s="10" t="str">
        <f t="shared" si="107"/>
        <v/>
      </c>
      <c r="BZ98" s="10" t="str">
        <f t="shared" si="107"/>
        <v/>
      </c>
      <c r="CA98" s="10" t="str">
        <f t="shared" si="107"/>
        <v/>
      </c>
      <c r="CB98" s="10" t="str">
        <f t="shared" si="107"/>
        <v/>
      </c>
      <c r="CC98" s="10" t="str">
        <f t="shared" si="107"/>
        <v/>
      </c>
      <c r="CD98" s="10" t="str">
        <f t="shared" si="107"/>
        <v/>
      </c>
      <c r="CE98" s="10" t="str">
        <f t="shared" si="107"/>
        <v/>
      </c>
      <c r="CF98" s="10" t="str">
        <f t="shared" si="107"/>
        <v/>
      </c>
      <c r="CG98" s="10" t="str">
        <f t="shared" si="107"/>
        <v/>
      </c>
      <c r="CH98" s="10" t="str">
        <f t="shared" si="107"/>
        <v/>
      </c>
      <c r="CI98" s="10" t="str">
        <f t="shared" si="107"/>
        <v/>
      </c>
      <c r="CJ98" s="10" t="str">
        <f t="shared" si="107"/>
        <v/>
      </c>
      <c r="CK98" s="10" t="str">
        <f t="shared" si="107"/>
        <v/>
      </c>
      <c r="CL98" s="10" t="str">
        <f t="shared" si="107"/>
        <v/>
      </c>
      <c r="CM98" s="10" t="str">
        <f t="shared" si="107"/>
        <v/>
      </c>
      <c r="CN98" s="10" t="str">
        <f t="shared" si="107"/>
        <v/>
      </c>
      <c r="CO98" s="10" t="str">
        <f t="shared" si="107"/>
        <v/>
      </c>
      <c r="CP98" s="10" t="str">
        <f t="shared" si="107"/>
        <v/>
      </c>
      <c r="CQ98" s="10" t="str">
        <f t="shared" si="107"/>
        <v/>
      </c>
      <c r="CR98" s="10" t="str">
        <f t="shared" si="107"/>
        <v/>
      </c>
      <c r="CS98" s="10" t="str">
        <f t="shared" si="107"/>
        <v/>
      </c>
      <c r="CT98" s="10" t="str">
        <f t="shared" si="107"/>
        <v/>
      </c>
      <c r="CU98" s="10" t="str">
        <f t="shared" si="107"/>
        <v/>
      </c>
      <c r="CV98" s="10" t="str">
        <f t="shared" si="107"/>
        <v/>
      </c>
      <c r="CW98" s="10" t="str">
        <f t="shared" si="107"/>
        <v/>
      </c>
      <c r="CX98" s="10" t="str">
        <f t="shared" si="107"/>
        <v/>
      </c>
      <c r="CY98" s="10" t="str">
        <f t="shared" si="107"/>
        <v/>
      </c>
      <c r="CZ98" s="10" t="str">
        <f t="shared" si="107"/>
        <v/>
      </c>
      <c r="DA98" s="10" t="str">
        <f t="shared" si="107"/>
        <v/>
      </c>
      <c r="DB98" s="10" t="str">
        <f t="shared" si="107"/>
        <v/>
      </c>
      <c r="DC98" s="10" t="str">
        <f t="shared" si="107"/>
        <v/>
      </c>
      <c r="DD98" s="10" t="str">
        <f t="shared" si="107"/>
        <v/>
      </c>
      <c r="DE98" s="10" t="str">
        <f t="shared" si="107"/>
        <v/>
      </c>
      <c r="DF98" s="10" t="str">
        <f t="shared" si="107"/>
        <v/>
      </c>
      <c r="DG98" s="10" t="str">
        <f t="shared" si="107"/>
        <v/>
      </c>
      <c r="DH98" s="10" t="str">
        <f t="shared" si="107"/>
        <v/>
      </c>
      <c r="DI98" s="10" t="str">
        <f t="shared" si="107"/>
        <v/>
      </c>
      <c r="DJ98" s="10" t="str">
        <f t="shared" si="107"/>
        <v/>
      </c>
    </row>
    <row r="99" spans="1:114" ht="13.5" customHeight="1">
      <c r="A99" s="1">
        <f>Gerenciamento!D99</f>
        <v>0</v>
      </c>
      <c r="B99" s="1" t="e">
        <f t="shared" si="2"/>
        <v>#VALUE!</v>
      </c>
      <c r="C99" s="2" t="e">
        <f t="shared" si="6"/>
        <v>#VALUE!</v>
      </c>
      <c r="D99" s="2" t="e">
        <f t="shared" si="7"/>
        <v>#VALUE!</v>
      </c>
      <c r="E99" s="2" t="e">
        <f t="shared" si="8"/>
        <v>#VALUE!</v>
      </c>
      <c r="F99" s="2" t="e">
        <f t="shared" si="9"/>
        <v>#VALUE!</v>
      </c>
      <c r="G99" s="5" t="e">
        <f t="shared" si="15"/>
        <v>#VALUE!</v>
      </c>
      <c r="H99" s="1" t="e">
        <f t="shared" si="10"/>
        <v>#VALUE!</v>
      </c>
      <c r="I99" s="1" t="e">
        <f t="shared" si="12"/>
        <v>#VALUE!</v>
      </c>
      <c r="J99" s="6" t="e">
        <f t="shared" si="3"/>
        <v>#VALUE!</v>
      </c>
      <c r="M99" s="9" t="b">
        <f t="shared" si="4"/>
        <v>0</v>
      </c>
      <c r="N99" s="10" t="e">
        <f t="shared" ref="N99:DJ99" si="108">IF(N$1&gt;$L$2,"",IF(N$1=$L$2,1,IF($L$2-N$1=$L$1-$M99,$L$3^($L$1-$M99),($L$3*N100*O100/(N100+($L$3-1)*O100)))))</f>
        <v>#DIV/0!</v>
      </c>
      <c r="O99" s="10" t="e">
        <f t="shared" si="108"/>
        <v>#DIV/0!</v>
      </c>
      <c r="P99" s="10">
        <f t="shared" si="108"/>
        <v>1</v>
      </c>
      <c r="Q99" s="10" t="str">
        <f t="shared" si="108"/>
        <v/>
      </c>
      <c r="R99" s="10" t="str">
        <f t="shared" si="108"/>
        <v/>
      </c>
      <c r="S99" s="10" t="str">
        <f t="shared" si="108"/>
        <v/>
      </c>
      <c r="T99" s="10" t="str">
        <f t="shared" si="108"/>
        <v/>
      </c>
      <c r="U99" s="10" t="str">
        <f t="shared" si="108"/>
        <v/>
      </c>
      <c r="V99" s="10" t="str">
        <f t="shared" si="108"/>
        <v/>
      </c>
      <c r="W99" s="10" t="str">
        <f t="shared" si="108"/>
        <v/>
      </c>
      <c r="X99" s="10" t="str">
        <f t="shared" si="108"/>
        <v/>
      </c>
      <c r="Y99" s="10" t="str">
        <f t="shared" si="108"/>
        <v/>
      </c>
      <c r="Z99" s="10" t="str">
        <f t="shared" si="108"/>
        <v/>
      </c>
      <c r="AA99" s="10" t="str">
        <f t="shared" si="108"/>
        <v/>
      </c>
      <c r="AB99" s="10" t="str">
        <f t="shared" si="108"/>
        <v/>
      </c>
      <c r="AC99" s="10" t="str">
        <f t="shared" si="108"/>
        <v/>
      </c>
      <c r="AD99" s="10" t="str">
        <f t="shared" si="108"/>
        <v/>
      </c>
      <c r="AE99" s="10" t="str">
        <f t="shared" si="108"/>
        <v/>
      </c>
      <c r="AF99" s="10" t="str">
        <f t="shared" si="108"/>
        <v/>
      </c>
      <c r="AG99" s="10" t="str">
        <f t="shared" si="108"/>
        <v/>
      </c>
      <c r="AH99" s="10" t="str">
        <f t="shared" si="108"/>
        <v/>
      </c>
      <c r="AI99" s="10" t="str">
        <f t="shared" si="108"/>
        <v/>
      </c>
      <c r="AJ99" s="10" t="str">
        <f t="shared" si="108"/>
        <v/>
      </c>
      <c r="AK99" s="10" t="str">
        <f t="shared" si="108"/>
        <v/>
      </c>
      <c r="AL99" s="10" t="str">
        <f t="shared" si="108"/>
        <v/>
      </c>
      <c r="AM99" s="10" t="str">
        <f t="shared" si="108"/>
        <v/>
      </c>
      <c r="AN99" s="10" t="str">
        <f t="shared" si="108"/>
        <v/>
      </c>
      <c r="AO99" s="10" t="str">
        <f t="shared" si="108"/>
        <v/>
      </c>
      <c r="AP99" s="10" t="str">
        <f t="shared" si="108"/>
        <v/>
      </c>
      <c r="AQ99" s="10" t="str">
        <f t="shared" si="108"/>
        <v/>
      </c>
      <c r="AR99" s="10" t="str">
        <f t="shared" si="108"/>
        <v/>
      </c>
      <c r="AS99" s="10" t="str">
        <f t="shared" si="108"/>
        <v/>
      </c>
      <c r="AT99" s="10" t="str">
        <f t="shared" si="108"/>
        <v/>
      </c>
      <c r="AU99" s="10" t="str">
        <f t="shared" si="108"/>
        <v/>
      </c>
      <c r="AV99" s="10" t="str">
        <f t="shared" si="108"/>
        <v/>
      </c>
      <c r="AW99" s="10" t="str">
        <f t="shared" si="108"/>
        <v/>
      </c>
      <c r="AX99" s="10" t="str">
        <f t="shared" si="108"/>
        <v/>
      </c>
      <c r="AY99" s="10" t="str">
        <f t="shared" si="108"/>
        <v/>
      </c>
      <c r="AZ99" s="10" t="str">
        <f t="shared" si="108"/>
        <v/>
      </c>
      <c r="BA99" s="10" t="str">
        <f t="shared" si="108"/>
        <v/>
      </c>
      <c r="BB99" s="10" t="str">
        <f t="shared" si="108"/>
        <v/>
      </c>
      <c r="BC99" s="10" t="str">
        <f t="shared" si="108"/>
        <v/>
      </c>
      <c r="BD99" s="10" t="str">
        <f t="shared" si="108"/>
        <v/>
      </c>
      <c r="BE99" s="10" t="str">
        <f t="shared" si="108"/>
        <v/>
      </c>
      <c r="BF99" s="10" t="str">
        <f t="shared" si="108"/>
        <v/>
      </c>
      <c r="BG99" s="10" t="str">
        <f t="shared" si="108"/>
        <v/>
      </c>
      <c r="BH99" s="10" t="str">
        <f t="shared" si="108"/>
        <v/>
      </c>
      <c r="BI99" s="10" t="str">
        <f t="shared" si="108"/>
        <v/>
      </c>
      <c r="BJ99" s="10" t="str">
        <f t="shared" si="108"/>
        <v/>
      </c>
      <c r="BK99" s="10" t="str">
        <f t="shared" si="108"/>
        <v/>
      </c>
      <c r="BL99" s="10" t="str">
        <f t="shared" si="108"/>
        <v/>
      </c>
      <c r="BM99" s="10" t="str">
        <f t="shared" si="108"/>
        <v/>
      </c>
      <c r="BN99" s="10" t="str">
        <f t="shared" si="108"/>
        <v/>
      </c>
      <c r="BO99" s="10" t="str">
        <f t="shared" si="108"/>
        <v/>
      </c>
      <c r="BP99" s="10" t="str">
        <f t="shared" si="108"/>
        <v/>
      </c>
      <c r="BQ99" s="10" t="str">
        <f t="shared" si="108"/>
        <v/>
      </c>
      <c r="BR99" s="10" t="str">
        <f t="shared" si="108"/>
        <v/>
      </c>
      <c r="BS99" s="10" t="str">
        <f t="shared" si="108"/>
        <v/>
      </c>
      <c r="BT99" s="10" t="str">
        <f t="shared" si="108"/>
        <v/>
      </c>
      <c r="BU99" s="10" t="str">
        <f t="shared" si="108"/>
        <v/>
      </c>
      <c r="BV99" s="10" t="str">
        <f t="shared" si="108"/>
        <v/>
      </c>
      <c r="BW99" s="10" t="str">
        <f t="shared" si="108"/>
        <v/>
      </c>
      <c r="BX99" s="10" t="str">
        <f t="shared" si="108"/>
        <v/>
      </c>
      <c r="BY99" s="10" t="str">
        <f t="shared" si="108"/>
        <v/>
      </c>
      <c r="BZ99" s="10" t="str">
        <f t="shared" si="108"/>
        <v/>
      </c>
      <c r="CA99" s="10" t="str">
        <f t="shared" si="108"/>
        <v/>
      </c>
      <c r="CB99" s="10" t="str">
        <f t="shared" si="108"/>
        <v/>
      </c>
      <c r="CC99" s="10" t="str">
        <f t="shared" si="108"/>
        <v/>
      </c>
      <c r="CD99" s="10" t="str">
        <f t="shared" si="108"/>
        <v/>
      </c>
      <c r="CE99" s="10" t="str">
        <f t="shared" si="108"/>
        <v/>
      </c>
      <c r="CF99" s="10" t="str">
        <f t="shared" si="108"/>
        <v/>
      </c>
      <c r="CG99" s="10" t="str">
        <f t="shared" si="108"/>
        <v/>
      </c>
      <c r="CH99" s="10" t="str">
        <f t="shared" si="108"/>
        <v/>
      </c>
      <c r="CI99" s="10" t="str">
        <f t="shared" si="108"/>
        <v/>
      </c>
      <c r="CJ99" s="10" t="str">
        <f t="shared" si="108"/>
        <v/>
      </c>
      <c r="CK99" s="10" t="str">
        <f t="shared" si="108"/>
        <v/>
      </c>
      <c r="CL99" s="10" t="str">
        <f t="shared" si="108"/>
        <v/>
      </c>
      <c r="CM99" s="10" t="str">
        <f t="shared" si="108"/>
        <v/>
      </c>
      <c r="CN99" s="10" t="str">
        <f t="shared" si="108"/>
        <v/>
      </c>
      <c r="CO99" s="10" t="str">
        <f t="shared" si="108"/>
        <v/>
      </c>
      <c r="CP99" s="10" t="str">
        <f t="shared" si="108"/>
        <v/>
      </c>
      <c r="CQ99" s="10" t="str">
        <f t="shared" si="108"/>
        <v/>
      </c>
      <c r="CR99" s="10" t="str">
        <f t="shared" si="108"/>
        <v/>
      </c>
      <c r="CS99" s="10" t="str">
        <f t="shared" si="108"/>
        <v/>
      </c>
      <c r="CT99" s="10" t="str">
        <f t="shared" si="108"/>
        <v/>
      </c>
      <c r="CU99" s="10" t="str">
        <f t="shared" si="108"/>
        <v/>
      </c>
      <c r="CV99" s="10" t="str">
        <f t="shared" si="108"/>
        <v/>
      </c>
      <c r="CW99" s="10" t="str">
        <f t="shared" si="108"/>
        <v/>
      </c>
      <c r="CX99" s="10" t="str">
        <f t="shared" si="108"/>
        <v/>
      </c>
      <c r="CY99" s="10" t="str">
        <f t="shared" si="108"/>
        <v/>
      </c>
      <c r="CZ99" s="10" t="str">
        <f t="shared" si="108"/>
        <v/>
      </c>
      <c r="DA99" s="10" t="str">
        <f t="shared" si="108"/>
        <v/>
      </c>
      <c r="DB99" s="10" t="str">
        <f t="shared" si="108"/>
        <v/>
      </c>
      <c r="DC99" s="10" t="str">
        <f t="shared" si="108"/>
        <v/>
      </c>
      <c r="DD99" s="10" t="str">
        <f t="shared" si="108"/>
        <v/>
      </c>
      <c r="DE99" s="10" t="str">
        <f t="shared" si="108"/>
        <v/>
      </c>
      <c r="DF99" s="10" t="str">
        <f t="shared" si="108"/>
        <v/>
      </c>
      <c r="DG99" s="10" t="str">
        <f t="shared" si="108"/>
        <v/>
      </c>
      <c r="DH99" s="10" t="str">
        <f t="shared" si="108"/>
        <v/>
      </c>
      <c r="DI99" s="10" t="str">
        <f t="shared" si="108"/>
        <v/>
      </c>
      <c r="DJ99" s="10" t="str">
        <f t="shared" si="108"/>
        <v/>
      </c>
    </row>
    <row r="100" spans="1:114" ht="13.5" customHeight="1">
      <c r="A100" s="1">
        <f>Gerenciamento!D100</f>
        <v>0</v>
      </c>
      <c r="B100" s="1" t="e">
        <f t="shared" si="2"/>
        <v>#VALUE!</v>
      </c>
      <c r="C100" s="2" t="e">
        <f t="shared" si="6"/>
        <v>#VALUE!</v>
      </c>
      <c r="D100" s="2" t="e">
        <f t="shared" si="7"/>
        <v>#VALUE!</v>
      </c>
      <c r="E100" s="2" t="e">
        <f t="shared" si="8"/>
        <v>#VALUE!</v>
      </c>
      <c r="F100" s="2" t="e">
        <f t="shared" si="9"/>
        <v>#VALUE!</v>
      </c>
      <c r="G100" s="5" t="e">
        <f t="shared" si="15"/>
        <v>#VALUE!</v>
      </c>
      <c r="H100" s="1" t="e">
        <f t="shared" si="10"/>
        <v>#VALUE!</v>
      </c>
      <c r="I100" s="1" t="e">
        <f t="shared" si="12"/>
        <v>#VALUE!</v>
      </c>
      <c r="J100" s="6" t="e">
        <f t="shared" si="3"/>
        <v>#VALUE!</v>
      </c>
      <c r="M100" s="9" t="b">
        <f t="shared" si="4"/>
        <v>0</v>
      </c>
      <c r="N100" s="10" t="e">
        <f t="shared" ref="N100:DJ100" si="109">IF(N$1&gt;$L$2,"",IF(N$1=$L$2,1,IF($L$2-N$1=$L$1-$M100,$L$3^($L$1-$M100),($L$3*N101*O101/(N101+($L$3-1)*O101)))))</f>
        <v>#DIV/0!</v>
      </c>
      <c r="O100" s="10" t="e">
        <f t="shared" si="109"/>
        <v>#DIV/0!</v>
      </c>
      <c r="P100" s="10">
        <f t="shared" si="109"/>
        <v>1</v>
      </c>
      <c r="Q100" s="10" t="str">
        <f t="shared" si="109"/>
        <v/>
      </c>
      <c r="R100" s="10" t="str">
        <f t="shared" si="109"/>
        <v/>
      </c>
      <c r="S100" s="10" t="str">
        <f t="shared" si="109"/>
        <v/>
      </c>
      <c r="T100" s="10" t="str">
        <f t="shared" si="109"/>
        <v/>
      </c>
      <c r="U100" s="10" t="str">
        <f t="shared" si="109"/>
        <v/>
      </c>
      <c r="V100" s="10" t="str">
        <f t="shared" si="109"/>
        <v/>
      </c>
      <c r="W100" s="10" t="str">
        <f t="shared" si="109"/>
        <v/>
      </c>
      <c r="X100" s="10" t="str">
        <f t="shared" si="109"/>
        <v/>
      </c>
      <c r="Y100" s="10" t="str">
        <f t="shared" si="109"/>
        <v/>
      </c>
      <c r="Z100" s="10" t="str">
        <f t="shared" si="109"/>
        <v/>
      </c>
      <c r="AA100" s="10" t="str">
        <f t="shared" si="109"/>
        <v/>
      </c>
      <c r="AB100" s="10" t="str">
        <f t="shared" si="109"/>
        <v/>
      </c>
      <c r="AC100" s="10" t="str">
        <f t="shared" si="109"/>
        <v/>
      </c>
      <c r="AD100" s="10" t="str">
        <f t="shared" si="109"/>
        <v/>
      </c>
      <c r="AE100" s="10" t="str">
        <f t="shared" si="109"/>
        <v/>
      </c>
      <c r="AF100" s="10" t="str">
        <f t="shared" si="109"/>
        <v/>
      </c>
      <c r="AG100" s="10" t="str">
        <f t="shared" si="109"/>
        <v/>
      </c>
      <c r="AH100" s="10" t="str">
        <f t="shared" si="109"/>
        <v/>
      </c>
      <c r="AI100" s="10" t="str">
        <f t="shared" si="109"/>
        <v/>
      </c>
      <c r="AJ100" s="10" t="str">
        <f t="shared" si="109"/>
        <v/>
      </c>
      <c r="AK100" s="10" t="str">
        <f t="shared" si="109"/>
        <v/>
      </c>
      <c r="AL100" s="10" t="str">
        <f t="shared" si="109"/>
        <v/>
      </c>
      <c r="AM100" s="10" t="str">
        <f t="shared" si="109"/>
        <v/>
      </c>
      <c r="AN100" s="10" t="str">
        <f t="shared" si="109"/>
        <v/>
      </c>
      <c r="AO100" s="10" t="str">
        <f t="shared" si="109"/>
        <v/>
      </c>
      <c r="AP100" s="10" t="str">
        <f t="shared" si="109"/>
        <v/>
      </c>
      <c r="AQ100" s="10" t="str">
        <f t="shared" si="109"/>
        <v/>
      </c>
      <c r="AR100" s="10" t="str">
        <f t="shared" si="109"/>
        <v/>
      </c>
      <c r="AS100" s="10" t="str">
        <f t="shared" si="109"/>
        <v/>
      </c>
      <c r="AT100" s="10" t="str">
        <f t="shared" si="109"/>
        <v/>
      </c>
      <c r="AU100" s="10" t="str">
        <f t="shared" si="109"/>
        <v/>
      </c>
      <c r="AV100" s="10" t="str">
        <f t="shared" si="109"/>
        <v/>
      </c>
      <c r="AW100" s="10" t="str">
        <f t="shared" si="109"/>
        <v/>
      </c>
      <c r="AX100" s="10" t="str">
        <f t="shared" si="109"/>
        <v/>
      </c>
      <c r="AY100" s="10" t="str">
        <f t="shared" si="109"/>
        <v/>
      </c>
      <c r="AZ100" s="10" t="str">
        <f t="shared" si="109"/>
        <v/>
      </c>
      <c r="BA100" s="10" t="str">
        <f t="shared" si="109"/>
        <v/>
      </c>
      <c r="BB100" s="10" t="str">
        <f t="shared" si="109"/>
        <v/>
      </c>
      <c r="BC100" s="10" t="str">
        <f t="shared" si="109"/>
        <v/>
      </c>
      <c r="BD100" s="10" t="str">
        <f t="shared" si="109"/>
        <v/>
      </c>
      <c r="BE100" s="10" t="str">
        <f t="shared" si="109"/>
        <v/>
      </c>
      <c r="BF100" s="10" t="str">
        <f t="shared" si="109"/>
        <v/>
      </c>
      <c r="BG100" s="10" t="str">
        <f t="shared" si="109"/>
        <v/>
      </c>
      <c r="BH100" s="10" t="str">
        <f t="shared" si="109"/>
        <v/>
      </c>
      <c r="BI100" s="10" t="str">
        <f t="shared" si="109"/>
        <v/>
      </c>
      <c r="BJ100" s="10" t="str">
        <f t="shared" si="109"/>
        <v/>
      </c>
      <c r="BK100" s="10" t="str">
        <f t="shared" si="109"/>
        <v/>
      </c>
      <c r="BL100" s="10" t="str">
        <f t="shared" si="109"/>
        <v/>
      </c>
      <c r="BM100" s="10" t="str">
        <f t="shared" si="109"/>
        <v/>
      </c>
      <c r="BN100" s="10" t="str">
        <f t="shared" si="109"/>
        <v/>
      </c>
      <c r="BO100" s="10" t="str">
        <f t="shared" si="109"/>
        <v/>
      </c>
      <c r="BP100" s="10" t="str">
        <f t="shared" si="109"/>
        <v/>
      </c>
      <c r="BQ100" s="10" t="str">
        <f t="shared" si="109"/>
        <v/>
      </c>
      <c r="BR100" s="10" t="str">
        <f t="shared" si="109"/>
        <v/>
      </c>
      <c r="BS100" s="10" t="str">
        <f t="shared" si="109"/>
        <v/>
      </c>
      <c r="BT100" s="10" t="str">
        <f t="shared" si="109"/>
        <v/>
      </c>
      <c r="BU100" s="10" t="str">
        <f t="shared" si="109"/>
        <v/>
      </c>
      <c r="BV100" s="10" t="str">
        <f t="shared" si="109"/>
        <v/>
      </c>
      <c r="BW100" s="10" t="str">
        <f t="shared" si="109"/>
        <v/>
      </c>
      <c r="BX100" s="10" t="str">
        <f t="shared" si="109"/>
        <v/>
      </c>
      <c r="BY100" s="10" t="str">
        <f t="shared" si="109"/>
        <v/>
      </c>
      <c r="BZ100" s="10" t="str">
        <f t="shared" si="109"/>
        <v/>
      </c>
      <c r="CA100" s="10" t="str">
        <f t="shared" si="109"/>
        <v/>
      </c>
      <c r="CB100" s="10" t="str">
        <f t="shared" si="109"/>
        <v/>
      </c>
      <c r="CC100" s="10" t="str">
        <f t="shared" si="109"/>
        <v/>
      </c>
      <c r="CD100" s="10" t="str">
        <f t="shared" si="109"/>
        <v/>
      </c>
      <c r="CE100" s="10" t="str">
        <f t="shared" si="109"/>
        <v/>
      </c>
      <c r="CF100" s="10" t="str">
        <f t="shared" si="109"/>
        <v/>
      </c>
      <c r="CG100" s="10" t="str">
        <f t="shared" si="109"/>
        <v/>
      </c>
      <c r="CH100" s="10" t="str">
        <f t="shared" si="109"/>
        <v/>
      </c>
      <c r="CI100" s="10" t="str">
        <f t="shared" si="109"/>
        <v/>
      </c>
      <c r="CJ100" s="10" t="str">
        <f t="shared" si="109"/>
        <v/>
      </c>
      <c r="CK100" s="10" t="str">
        <f t="shared" si="109"/>
        <v/>
      </c>
      <c r="CL100" s="10" t="str">
        <f t="shared" si="109"/>
        <v/>
      </c>
      <c r="CM100" s="10" t="str">
        <f t="shared" si="109"/>
        <v/>
      </c>
      <c r="CN100" s="10" t="str">
        <f t="shared" si="109"/>
        <v/>
      </c>
      <c r="CO100" s="10" t="str">
        <f t="shared" si="109"/>
        <v/>
      </c>
      <c r="CP100" s="10" t="str">
        <f t="shared" si="109"/>
        <v/>
      </c>
      <c r="CQ100" s="10" t="str">
        <f t="shared" si="109"/>
        <v/>
      </c>
      <c r="CR100" s="10" t="str">
        <f t="shared" si="109"/>
        <v/>
      </c>
      <c r="CS100" s="10" t="str">
        <f t="shared" si="109"/>
        <v/>
      </c>
      <c r="CT100" s="10" t="str">
        <f t="shared" si="109"/>
        <v/>
      </c>
      <c r="CU100" s="10" t="str">
        <f t="shared" si="109"/>
        <v/>
      </c>
      <c r="CV100" s="10" t="str">
        <f t="shared" si="109"/>
        <v/>
      </c>
      <c r="CW100" s="10" t="str">
        <f t="shared" si="109"/>
        <v/>
      </c>
      <c r="CX100" s="10" t="str">
        <f t="shared" si="109"/>
        <v/>
      </c>
      <c r="CY100" s="10" t="str">
        <f t="shared" si="109"/>
        <v/>
      </c>
      <c r="CZ100" s="10" t="str">
        <f t="shared" si="109"/>
        <v/>
      </c>
      <c r="DA100" s="10" t="str">
        <f t="shared" si="109"/>
        <v/>
      </c>
      <c r="DB100" s="10" t="str">
        <f t="shared" si="109"/>
        <v/>
      </c>
      <c r="DC100" s="10" t="str">
        <f t="shared" si="109"/>
        <v/>
      </c>
      <c r="DD100" s="10" t="str">
        <f t="shared" si="109"/>
        <v/>
      </c>
      <c r="DE100" s="10" t="str">
        <f t="shared" si="109"/>
        <v/>
      </c>
      <c r="DF100" s="10" t="str">
        <f t="shared" si="109"/>
        <v/>
      </c>
      <c r="DG100" s="10" t="str">
        <f t="shared" si="109"/>
        <v/>
      </c>
      <c r="DH100" s="10" t="str">
        <f t="shared" si="109"/>
        <v/>
      </c>
      <c r="DI100" s="10" t="str">
        <f t="shared" si="109"/>
        <v/>
      </c>
      <c r="DJ100" s="10" t="str">
        <f t="shared" si="109"/>
        <v/>
      </c>
    </row>
    <row r="101" spans="1:114" ht="13.5" customHeight="1">
      <c r="A101" s="1">
        <f>Gerenciamento!D101</f>
        <v>0</v>
      </c>
      <c r="B101" s="1" t="e">
        <f t="shared" si="2"/>
        <v>#VALUE!</v>
      </c>
      <c r="C101" s="2" t="e">
        <f t="shared" si="6"/>
        <v>#VALUE!</v>
      </c>
      <c r="D101" s="2" t="e">
        <f t="shared" si="7"/>
        <v>#VALUE!</v>
      </c>
      <c r="E101" s="2" t="e">
        <f t="shared" si="8"/>
        <v>#VALUE!</v>
      </c>
      <c r="F101" s="2" t="e">
        <f t="shared" si="9"/>
        <v>#VALUE!</v>
      </c>
      <c r="G101" s="5" t="e">
        <f t="shared" si="15"/>
        <v>#VALUE!</v>
      </c>
      <c r="H101" s="1" t="e">
        <f t="shared" si="10"/>
        <v>#VALUE!</v>
      </c>
      <c r="I101" s="1" t="e">
        <f t="shared" si="12"/>
        <v>#VALUE!</v>
      </c>
      <c r="J101" s="6" t="e">
        <f t="shared" si="3"/>
        <v>#VALUE!</v>
      </c>
      <c r="M101" s="9" t="b">
        <f t="shared" si="4"/>
        <v>0</v>
      </c>
      <c r="N101" s="10" t="e">
        <f t="shared" ref="N101:DJ101" si="110">IF(N$1&gt;$L$2,"",IF(N$1=$L$2,1,IF($L$2-N$1=$L$1-$M101,$L$3^($L$1-$M101),($L$3*N102*O102/(N102+($L$3-1)*O102)))))</f>
        <v>#DIV/0!</v>
      </c>
      <c r="O101" s="10" t="e">
        <f t="shared" si="110"/>
        <v>#DIV/0!</v>
      </c>
      <c r="P101" s="10">
        <f t="shared" si="110"/>
        <v>1</v>
      </c>
      <c r="Q101" s="10" t="str">
        <f t="shared" si="110"/>
        <v/>
      </c>
      <c r="R101" s="10" t="str">
        <f t="shared" si="110"/>
        <v/>
      </c>
      <c r="S101" s="10" t="str">
        <f t="shared" si="110"/>
        <v/>
      </c>
      <c r="T101" s="10" t="str">
        <f t="shared" si="110"/>
        <v/>
      </c>
      <c r="U101" s="10" t="str">
        <f t="shared" si="110"/>
        <v/>
      </c>
      <c r="V101" s="10" t="str">
        <f t="shared" si="110"/>
        <v/>
      </c>
      <c r="W101" s="10" t="str">
        <f t="shared" si="110"/>
        <v/>
      </c>
      <c r="X101" s="10" t="str">
        <f t="shared" si="110"/>
        <v/>
      </c>
      <c r="Y101" s="10" t="str">
        <f t="shared" si="110"/>
        <v/>
      </c>
      <c r="Z101" s="10" t="str">
        <f t="shared" si="110"/>
        <v/>
      </c>
      <c r="AA101" s="10" t="str">
        <f t="shared" si="110"/>
        <v/>
      </c>
      <c r="AB101" s="10" t="str">
        <f t="shared" si="110"/>
        <v/>
      </c>
      <c r="AC101" s="10" t="str">
        <f t="shared" si="110"/>
        <v/>
      </c>
      <c r="AD101" s="10" t="str">
        <f t="shared" si="110"/>
        <v/>
      </c>
      <c r="AE101" s="10" t="str">
        <f t="shared" si="110"/>
        <v/>
      </c>
      <c r="AF101" s="10" t="str">
        <f t="shared" si="110"/>
        <v/>
      </c>
      <c r="AG101" s="10" t="str">
        <f t="shared" si="110"/>
        <v/>
      </c>
      <c r="AH101" s="10" t="str">
        <f t="shared" si="110"/>
        <v/>
      </c>
      <c r="AI101" s="10" t="str">
        <f t="shared" si="110"/>
        <v/>
      </c>
      <c r="AJ101" s="10" t="str">
        <f t="shared" si="110"/>
        <v/>
      </c>
      <c r="AK101" s="10" t="str">
        <f t="shared" si="110"/>
        <v/>
      </c>
      <c r="AL101" s="10" t="str">
        <f t="shared" si="110"/>
        <v/>
      </c>
      <c r="AM101" s="10" t="str">
        <f t="shared" si="110"/>
        <v/>
      </c>
      <c r="AN101" s="10" t="str">
        <f t="shared" si="110"/>
        <v/>
      </c>
      <c r="AO101" s="10" t="str">
        <f t="shared" si="110"/>
        <v/>
      </c>
      <c r="AP101" s="10" t="str">
        <f t="shared" si="110"/>
        <v/>
      </c>
      <c r="AQ101" s="10" t="str">
        <f t="shared" si="110"/>
        <v/>
      </c>
      <c r="AR101" s="10" t="str">
        <f t="shared" si="110"/>
        <v/>
      </c>
      <c r="AS101" s="10" t="str">
        <f t="shared" si="110"/>
        <v/>
      </c>
      <c r="AT101" s="10" t="str">
        <f t="shared" si="110"/>
        <v/>
      </c>
      <c r="AU101" s="10" t="str">
        <f t="shared" si="110"/>
        <v/>
      </c>
      <c r="AV101" s="10" t="str">
        <f t="shared" si="110"/>
        <v/>
      </c>
      <c r="AW101" s="10" t="str">
        <f t="shared" si="110"/>
        <v/>
      </c>
      <c r="AX101" s="10" t="str">
        <f t="shared" si="110"/>
        <v/>
      </c>
      <c r="AY101" s="10" t="str">
        <f t="shared" si="110"/>
        <v/>
      </c>
      <c r="AZ101" s="10" t="str">
        <f t="shared" si="110"/>
        <v/>
      </c>
      <c r="BA101" s="10" t="str">
        <f t="shared" si="110"/>
        <v/>
      </c>
      <c r="BB101" s="10" t="str">
        <f t="shared" si="110"/>
        <v/>
      </c>
      <c r="BC101" s="10" t="str">
        <f t="shared" si="110"/>
        <v/>
      </c>
      <c r="BD101" s="10" t="str">
        <f t="shared" si="110"/>
        <v/>
      </c>
      <c r="BE101" s="10" t="str">
        <f t="shared" si="110"/>
        <v/>
      </c>
      <c r="BF101" s="10" t="str">
        <f t="shared" si="110"/>
        <v/>
      </c>
      <c r="BG101" s="10" t="str">
        <f t="shared" si="110"/>
        <v/>
      </c>
      <c r="BH101" s="10" t="str">
        <f t="shared" si="110"/>
        <v/>
      </c>
      <c r="BI101" s="10" t="str">
        <f t="shared" si="110"/>
        <v/>
      </c>
      <c r="BJ101" s="10" t="str">
        <f t="shared" si="110"/>
        <v/>
      </c>
      <c r="BK101" s="10" t="str">
        <f t="shared" si="110"/>
        <v/>
      </c>
      <c r="BL101" s="10" t="str">
        <f t="shared" si="110"/>
        <v/>
      </c>
      <c r="BM101" s="10" t="str">
        <f t="shared" si="110"/>
        <v/>
      </c>
      <c r="BN101" s="10" t="str">
        <f t="shared" si="110"/>
        <v/>
      </c>
      <c r="BO101" s="10" t="str">
        <f t="shared" si="110"/>
        <v/>
      </c>
      <c r="BP101" s="10" t="str">
        <f t="shared" si="110"/>
        <v/>
      </c>
      <c r="BQ101" s="10" t="str">
        <f t="shared" si="110"/>
        <v/>
      </c>
      <c r="BR101" s="10" t="str">
        <f t="shared" si="110"/>
        <v/>
      </c>
      <c r="BS101" s="10" t="str">
        <f t="shared" si="110"/>
        <v/>
      </c>
      <c r="BT101" s="10" t="str">
        <f t="shared" si="110"/>
        <v/>
      </c>
      <c r="BU101" s="10" t="str">
        <f t="shared" si="110"/>
        <v/>
      </c>
      <c r="BV101" s="10" t="str">
        <f t="shared" si="110"/>
        <v/>
      </c>
      <c r="BW101" s="10" t="str">
        <f t="shared" si="110"/>
        <v/>
      </c>
      <c r="BX101" s="10" t="str">
        <f t="shared" si="110"/>
        <v/>
      </c>
      <c r="BY101" s="10" t="str">
        <f t="shared" si="110"/>
        <v/>
      </c>
      <c r="BZ101" s="10" t="str">
        <f t="shared" si="110"/>
        <v/>
      </c>
      <c r="CA101" s="10" t="str">
        <f t="shared" si="110"/>
        <v/>
      </c>
      <c r="CB101" s="10" t="str">
        <f t="shared" si="110"/>
        <v/>
      </c>
      <c r="CC101" s="10" t="str">
        <f t="shared" si="110"/>
        <v/>
      </c>
      <c r="CD101" s="10" t="str">
        <f t="shared" si="110"/>
        <v/>
      </c>
      <c r="CE101" s="10" t="str">
        <f t="shared" si="110"/>
        <v/>
      </c>
      <c r="CF101" s="10" t="str">
        <f t="shared" si="110"/>
        <v/>
      </c>
      <c r="CG101" s="10" t="str">
        <f t="shared" si="110"/>
        <v/>
      </c>
      <c r="CH101" s="10" t="str">
        <f t="shared" si="110"/>
        <v/>
      </c>
      <c r="CI101" s="10" t="str">
        <f t="shared" si="110"/>
        <v/>
      </c>
      <c r="CJ101" s="10" t="str">
        <f t="shared" si="110"/>
        <v/>
      </c>
      <c r="CK101" s="10" t="str">
        <f t="shared" si="110"/>
        <v/>
      </c>
      <c r="CL101" s="10" t="str">
        <f t="shared" si="110"/>
        <v/>
      </c>
      <c r="CM101" s="10" t="str">
        <f t="shared" si="110"/>
        <v/>
      </c>
      <c r="CN101" s="10" t="str">
        <f t="shared" si="110"/>
        <v/>
      </c>
      <c r="CO101" s="10" t="str">
        <f t="shared" si="110"/>
        <v/>
      </c>
      <c r="CP101" s="10" t="str">
        <f t="shared" si="110"/>
        <v/>
      </c>
      <c r="CQ101" s="10" t="str">
        <f t="shared" si="110"/>
        <v/>
      </c>
      <c r="CR101" s="10" t="str">
        <f t="shared" si="110"/>
        <v/>
      </c>
      <c r="CS101" s="10" t="str">
        <f t="shared" si="110"/>
        <v/>
      </c>
      <c r="CT101" s="10" t="str">
        <f t="shared" si="110"/>
        <v/>
      </c>
      <c r="CU101" s="10" t="str">
        <f t="shared" si="110"/>
        <v/>
      </c>
      <c r="CV101" s="10" t="str">
        <f t="shared" si="110"/>
        <v/>
      </c>
      <c r="CW101" s="10" t="str">
        <f t="shared" si="110"/>
        <v/>
      </c>
      <c r="CX101" s="10" t="str">
        <f t="shared" si="110"/>
        <v/>
      </c>
      <c r="CY101" s="10" t="str">
        <f t="shared" si="110"/>
        <v/>
      </c>
      <c r="CZ101" s="10" t="str">
        <f t="shared" si="110"/>
        <v/>
      </c>
      <c r="DA101" s="10" t="str">
        <f t="shared" si="110"/>
        <v/>
      </c>
      <c r="DB101" s="10" t="str">
        <f t="shared" si="110"/>
        <v/>
      </c>
      <c r="DC101" s="10" t="str">
        <f t="shared" si="110"/>
        <v/>
      </c>
      <c r="DD101" s="10" t="str">
        <f t="shared" si="110"/>
        <v/>
      </c>
      <c r="DE101" s="10" t="str">
        <f t="shared" si="110"/>
        <v/>
      </c>
      <c r="DF101" s="10" t="str">
        <f t="shared" si="110"/>
        <v/>
      </c>
      <c r="DG101" s="10" t="str">
        <f t="shared" si="110"/>
        <v/>
      </c>
      <c r="DH101" s="10" t="str">
        <f t="shared" si="110"/>
        <v/>
      </c>
      <c r="DI101" s="10" t="str">
        <f t="shared" si="110"/>
        <v/>
      </c>
      <c r="DJ101" s="10" t="str">
        <f t="shared" si="110"/>
        <v/>
      </c>
    </row>
    <row r="102" spans="1:114" ht="13.5" customHeight="1">
      <c r="A102" s="1">
        <f>Gerenciamento!D102</f>
        <v>0</v>
      </c>
      <c r="B102" s="1" t="e">
        <f t="shared" si="2"/>
        <v>#VALUE!</v>
      </c>
      <c r="C102" s="2" t="e">
        <f t="shared" si="6"/>
        <v>#VALUE!</v>
      </c>
      <c r="D102" s="2" t="e">
        <f t="shared" si="7"/>
        <v>#VALUE!</v>
      </c>
      <c r="E102" s="2" t="e">
        <f t="shared" si="8"/>
        <v>#VALUE!</v>
      </c>
      <c r="F102" s="2" t="e">
        <f t="shared" si="9"/>
        <v>#VALUE!</v>
      </c>
      <c r="G102" s="5" t="e">
        <f t="shared" si="15"/>
        <v>#VALUE!</v>
      </c>
      <c r="H102" s="1" t="e">
        <f t="shared" si="10"/>
        <v>#VALUE!</v>
      </c>
      <c r="I102" s="1" t="e">
        <f t="shared" si="12"/>
        <v>#VALUE!</v>
      </c>
      <c r="J102" s="6" t="e">
        <f t="shared" si="3"/>
        <v>#VALUE!</v>
      </c>
      <c r="M102" s="24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</row>
    <row r="103" spans="1:114" ht="12.75" customHeight="1">
      <c r="A103" s="14"/>
      <c r="B103" s="14"/>
      <c r="C103" s="15"/>
      <c r="D103" s="15"/>
      <c r="E103" s="15"/>
      <c r="F103" s="15"/>
      <c r="G103" s="14"/>
      <c r="H103" s="14"/>
      <c r="I103" s="14"/>
      <c r="J103" s="14"/>
      <c r="K103" s="25"/>
      <c r="L103" s="25"/>
      <c r="M103" s="24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  <c r="DA103" s="25"/>
      <c r="DB103" s="25"/>
      <c r="DC103" s="25"/>
      <c r="DD103" s="25"/>
      <c r="DE103" s="25"/>
      <c r="DF103" s="25"/>
      <c r="DG103" s="25"/>
      <c r="DH103" s="25"/>
      <c r="DI103" s="25"/>
      <c r="DJ103" s="25"/>
    </row>
    <row r="104" spans="1:114" ht="15.75" customHeight="1"/>
    <row r="105" spans="1:114" ht="15.75" customHeight="1">
      <c r="B105" s="16">
        <f>$L$3</f>
        <v>2</v>
      </c>
      <c r="C105" s="17">
        <f t="array" ref="C105">INDEX($N$2:$DJ$101,H2+I2+2,I2+2)</f>
        <v>1.015873015873016</v>
      </c>
      <c r="D105" s="18">
        <f t="array" ref="D105">INDEX($N$2:$DJ$101,H2+I2+2,I2+1)</f>
        <v>1.1228070175438596</v>
      </c>
      <c r="E105" s="19">
        <f>$L$3-1</f>
        <v>1</v>
      </c>
      <c r="F105" s="13">
        <f t="array" ref="F105">(INDEX($N$2:$DJ$101,H2+I2+2,I2+2))</f>
        <v>1.015873015873016</v>
      </c>
      <c r="G105" s="20">
        <f>$F2</f>
        <v>200</v>
      </c>
    </row>
    <row r="106" spans="1:114" ht="15.75" customHeight="1">
      <c r="B106" s="21">
        <v>1.8</v>
      </c>
      <c r="C106" s="21">
        <v>1.1867477820000001</v>
      </c>
      <c r="D106" s="21">
        <v>1.576061282</v>
      </c>
      <c r="E106" s="22">
        <v>1</v>
      </c>
      <c r="F106" s="21">
        <v>1.1867477820000001</v>
      </c>
      <c r="G106" s="21">
        <v>10000</v>
      </c>
    </row>
    <row r="107" spans="1:114" ht="15.75" customHeight="1">
      <c r="B107" s="21" t="s">
        <v>36</v>
      </c>
      <c r="C107" s="21" t="s">
        <v>37</v>
      </c>
      <c r="D107" s="21" t="s">
        <v>38</v>
      </c>
      <c r="E107" s="21" t="s">
        <v>39</v>
      </c>
      <c r="F107" s="21" t="s">
        <v>37</v>
      </c>
      <c r="G107" s="21" t="s">
        <v>40</v>
      </c>
    </row>
    <row r="108" spans="1:114" ht="15.75" customHeight="1"/>
    <row r="109" spans="1:114" ht="15.75" customHeight="1">
      <c r="D109" s="21"/>
      <c r="E109" s="13">
        <f t="array" ref="E109">((1-$L$3*INDEX($N$2:$DJ$101,H2+I2+2,I2+2)/(INDEX($N$2:$DJ$101,H2+I2+2,I2+1)+($L$3-1)*(INDEX($N$2:$DJ$101,H2+I2+2,I2+2))))*$F2)</f>
        <v>9.9999999999999645</v>
      </c>
      <c r="G109" s="13">
        <f t="array" ref="G109">(INDEX($N$2:$DJ$101,H4+I4+2,I4+1))</f>
        <v>1.0666666666666667</v>
      </c>
    </row>
    <row r="110" spans="1:114" ht="15.75" customHeight="1">
      <c r="E110" s="23">
        <f>((1-(B106*C106)/(D106+(B106-1)*(C105)))*G106)</f>
        <v>1057.5098351628276</v>
      </c>
      <c r="G110" s="13">
        <f>H4+I4+2</f>
        <v>4</v>
      </c>
    </row>
    <row r="111" spans="1:114" ht="15.75" customHeight="1">
      <c r="E111" s="22"/>
      <c r="G111" s="13">
        <f>I4+1</f>
        <v>2</v>
      </c>
    </row>
    <row r="112" spans="1:114" ht="15.75" customHeight="1">
      <c r="E112" s="13">
        <f t="array" ref="E112">((1-B106*INDEX($N$2:$DJ$101,H2+I2+2,I2+2)/(INDEX($N$2:$DJ$101,H2+I2+2,I2+1)+($L$3-1)*(INDEX($N$2:$DJ$101,H2+I2+2,I2+2))))*$F2)</f>
        <v>28.999999999999957</v>
      </c>
      <c r="G112" s="13" t="e">
        <f t="array" ref="G112">(INDEX($N$2:$DJ$101,H5+I5+2,I5+2))</f>
        <v>#VALUE!</v>
      </c>
    </row>
    <row r="113" spans="4:4" ht="15.75" customHeight="1"/>
    <row r="114" spans="4:4" ht="15.75" customHeight="1"/>
    <row r="115" spans="4:4" ht="15.75" customHeight="1"/>
    <row r="116" spans="4:4" ht="15.75" customHeight="1">
      <c r="D116" s="17"/>
    </row>
    <row r="117" spans="4:4" ht="15.75" customHeight="1"/>
    <row r="118" spans="4:4" ht="15.75" customHeight="1"/>
    <row r="119" spans="4:4" ht="15.75" customHeight="1"/>
    <row r="120" spans="4:4" ht="15.75" customHeight="1"/>
    <row r="121" spans="4:4" ht="15.75" customHeight="1"/>
    <row r="122" spans="4:4" ht="15.75" customHeight="1"/>
    <row r="123" spans="4:4" ht="15.75" customHeight="1"/>
    <row r="124" spans="4:4" ht="15.75" customHeight="1"/>
    <row r="125" spans="4:4" ht="15.75" customHeight="1"/>
    <row r="126" spans="4:4" ht="15.75" customHeight="1"/>
    <row r="127" spans="4:4" ht="15.75" customHeight="1"/>
    <row r="128" spans="4:4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Gerenciamento</vt:lpstr>
      <vt:lpstr>algoritmo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</dc:creator>
  <cp:lastModifiedBy>Valdir Nogueira</cp:lastModifiedBy>
  <dcterms:created xsi:type="dcterms:W3CDTF">2022-03-27T01:39:00Z</dcterms:created>
  <dcterms:modified xsi:type="dcterms:W3CDTF">2026-05-23T12:29:23Z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9FD8BCA5E5944679B83E0CC324CB4EB9</vt:lpwstr>
  </property>
  <property fmtid="{D5CDD505-2E9C-101B-9397-08002B2CF9AE}" pid="3" name="KSOProductBuildVer">
    <vt:lpwstr>1046-12.2.0.21546</vt:lpwstr>
  </property>
</Properties>
</file>